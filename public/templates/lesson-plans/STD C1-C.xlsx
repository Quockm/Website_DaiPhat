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áo Án\GIÁO ÁN -TT14\"/>
    </mc:Choice>
  </mc:AlternateContent>
  <xr:revisionPtr revIDLastSave="0" documentId="13_ncr:1_{5554EDB3-B48C-4781-8818-3866ABE8E61E}" xr6:coauthVersionLast="47" xr6:coauthVersionMax="47" xr10:uidLastSave="{00000000-0000-0000-0000-000000000000}"/>
  <bookViews>
    <workbookView xWindow="-28920" yWindow="960" windowWidth="29040" windowHeight="15840" firstSheet="2" activeTab="4" xr2:uid="{979A2F57-653A-4BDD-93B1-8AB1790AB86A}"/>
  </bookViews>
  <sheets>
    <sheet name="DANH SÁCH" sheetId="21" r:id="rId1"/>
    <sheet name="DANH SÁCH CHIA NHÓM" sheetId="16" r:id="rId2"/>
    <sheet name="BÌA THEO DÕI" sheetId="17" r:id="rId3"/>
    <sheet name="SỔ THEO DÕI" sheetId="1" r:id="rId4"/>
    <sheet name="SA HÌNH" sheetId="2" r:id="rId5"/>
    <sheet name="MẪU IN SA HÌNH" sheetId="15" r:id="rId6"/>
    <sheet name="MẪU IN ĐƯỜNG TRƯỜNG" sheetId="19" r:id="rId7"/>
  </sheets>
  <definedNames>
    <definedName name="_xlnm._FilterDatabase" localSheetId="0" hidden="1">'DANH SÁCH'!$A$1:$F$11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15" l="1"/>
  <c r="H11" i="15"/>
  <c r="H7" i="15"/>
  <c r="H4" i="15"/>
  <c r="A15" i="2"/>
  <c r="A7" i="2"/>
  <c r="A11" i="2" s="1"/>
  <c r="H16" i="2"/>
  <c r="H15" i="2"/>
  <c r="H14" i="2"/>
  <c r="H11" i="2"/>
  <c r="H7" i="2"/>
  <c r="H4" i="2"/>
  <c r="A16" i="2" l="1"/>
  <c r="B54" i="1" l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53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23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D53" i="1" l="1"/>
  <c r="C53" i="1"/>
  <c r="D38" i="1"/>
  <c r="C38" i="1"/>
  <c r="B38" i="1"/>
  <c r="D23" i="1"/>
  <c r="C23" i="1"/>
  <c r="D7" i="1" l="1"/>
  <c r="C7" i="1"/>
  <c r="B7" i="1"/>
</calcChain>
</file>

<file path=xl/sharedStrings.xml><?xml version="1.0" encoding="utf-8"?>
<sst xmlns="http://schemas.openxmlformats.org/spreadsheetml/2006/main" count="279" uniqueCount="139">
  <si>
    <t>DANH SÁCH HỌC VIÊN</t>
  </si>
  <si>
    <t>Xe:</t>
  </si>
  <si>
    <t>STT</t>
  </si>
  <si>
    <t>Họ và tên</t>
  </si>
  <si>
    <t>Ngày sinh</t>
  </si>
  <si>
    <t>Nơi cư trú</t>
  </si>
  <si>
    <t>Số km thực hành</t>
  </si>
  <si>
    <t>Điểm thi kiểm tra cuối khóa</t>
  </si>
  <si>
    <t>Học viên ký tên</t>
  </si>
  <si>
    <t>Từ ngày:</t>
  </si>
  <si>
    <t>đến ngày:</t>
  </si>
  <si>
    <t>…..................</t>
  </si>
  <si>
    <t>Ngày  tháng</t>
  </si>
  <si>
    <t>Nội dung bài giảng</t>
  </si>
  <si>
    <t>Địa điểm</t>
  </si>
  <si>
    <t>Số Km
thực hành</t>
  </si>
  <si>
    <t>Họ tên Hs vắng mặt</t>
  </si>
  <si>
    <t xml:space="preserve">Số nhiên
liệu sử 
dụng  </t>
  </si>
  <si>
    <t>Chữ ký</t>
  </si>
  <si>
    <t>có lý
do</t>
  </si>
  <si>
    <t>không có 
lý do</t>
  </si>
  <si>
    <t>Giáo Viên</t>
  </si>
  <si>
    <t>Sân tập lái</t>
  </si>
  <si>
    <t xml:space="preserve"> - Lái xe trong hình các bài thi sát hạch GV hướng dẫn</t>
  </si>
  <si>
    <t xml:space="preserve">                                       Hạng xe:</t>
  </si>
  <si>
    <t>…............</t>
  </si>
  <si>
    <t xml:space="preserve"> - Tốc độ phù hợp, chuyển số phù hợp với tải trọng</t>
  </si>
  <si>
    <t xml:space="preserve"> - Di chuyển xe theo tốc độ quy định</t>
  </si>
  <si>
    <t xml:space="preserve"> - Qua ngã ba, ngã tư giao nhau,khu vực đường hẹp</t>
  </si>
  <si>
    <t xml:space="preserve"> - Tập lái xe căn lề trên đường, tập tắp lề</t>
  </si>
  <si>
    <t xml:space="preserve"> - Quan sát và xử lý khoảng cách an toàn</t>
  </si>
  <si>
    <t xml:space="preserve"> - Phải tập trung, quan sát đúng huớng khi lái</t>
  </si>
  <si>
    <t xml:space="preserve"> - Đảm bảo an toàn khi rẽ trái hoặc phải</t>
  </si>
  <si>
    <t xml:space="preserve">Số Giờ Thực
Hành </t>
  </si>
  <si>
    <t>Ôn thi tốt nghiệp</t>
  </si>
  <si>
    <t>Thi tốt nghiệp</t>
  </si>
  <si>
    <t>Ôn thi sát hạch</t>
  </si>
  <si>
    <t>Thi sát hạch</t>
  </si>
  <si>
    <t>........................................................................................................................................................................................................</t>
  </si>
  <si>
    <t>Khóa : …..................................</t>
  </si>
  <si>
    <t>…..........................</t>
  </si>
  <si>
    <t xml:space="preserve"> - Tiến và lùi trong hình chữ chi</t>
  </si>
  <si>
    <t xml:space="preserve"> - Thay đổi số trên đường thẳng</t>
  </si>
  <si>
    <t>Ngoài đường
Tuyến đường quy định</t>
  </si>
  <si>
    <t xml:space="preserve">Trưởng
Ban nghề </t>
  </si>
  <si>
    <r>
      <t>Tên HV</t>
    </r>
    <r>
      <rPr>
        <sz val="16"/>
        <color theme="1"/>
        <rFont val="Times New Roman"/>
        <family val="1"/>
      </rPr>
      <t>:....................................................................</t>
    </r>
  </si>
  <si>
    <r>
      <t>Ngày sinh</t>
    </r>
    <r>
      <rPr>
        <sz val="16"/>
        <color theme="1"/>
        <rFont val="Times New Roman"/>
        <family val="1"/>
      </rPr>
      <t>….........................</t>
    </r>
  </si>
  <si>
    <r>
      <rPr>
        <b/>
        <sz val="16"/>
        <color theme="1"/>
        <rFont val="Times New Roman"/>
        <family val="1"/>
      </rPr>
      <t>Xe</t>
    </r>
    <r>
      <rPr>
        <sz val="16"/>
        <color theme="1"/>
        <rFont val="Times New Roman"/>
        <family val="1"/>
      </rPr>
      <t>…........................</t>
    </r>
  </si>
  <si>
    <t>Giáo Viên Ký tên</t>
  </si>
  <si>
    <t>Nhóm</t>
  </si>
  <si>
    <t>Số CMND</t>
  </si>
  <si>
    <t>KHÓA</t>
  </si>
  <si>
    <t>GV</t>
  </si>
  <si>
    <t>SỐ XE</t>
  </si>
  <si>
    <t>Xe KH</t>
  </si>
  <si>
    <t>GVKH</t>
  </si>
  <si>
    <t>HẠNG</t>
  </si>
  <si>
    <t>TÊN KHÓA</t>
  </si>
  <si>
    <t>TRUNG TÂM GIÁO DỤC NGHỀ NGHIỆP TIẾN THÀNH</t>
  </si>
  <si>
    <t>SỔ THEO DÕI
THỰC HÀNH LÁI XE</t>
  </si>
  <si>
    <t>Họ và tên giáo viên:</t>
  </si>
  <si>
    <t>Mã khóa:</t>
  </si>
  <si>
    <t>Tên khóa:</t>
  </si>
  <si>
    <t xml:space="preserve"> Hạng: </t>
  </si>
  <si>
    <t xml:space="preserve"> - Dừng và đỗ xe đúng nơi quy định.</t>
  </si>
  <si>
    <t xml:space="preserve"> - Vòng tránh khi xe có tải trọng</t>
  </si>
  <si>
    <r>
      <rPr>
        <b/>
        <u/>
        <sz val="11"/>
        <color indexed="8"/>
        <rFont val="Times New Roman"/>
        <family val="1"/>
      </rPr>
      <t>Bài 1</t>
    </r>
    <r>
      <rPr>
        <b/>
        <sz val="11"/>
        <color indexed="8"/>
        <rFont val="Times New Roman"/>
        <family val="1"/>
      </rPr>
      <t>:Tập lái trong bãi phẳng .</t>
    </r>
  </si>
  <si>
    <t xml:space="preserve"> - Khởi hành và dừng xe đúng quy trình</t>
  </si>
  <si>
    <t xml:space="preserve"> - Tập lái xe trong hinh số 8</t>
  </si>
  <si>
    <t xml:space="preserve"> - Tập lái xe trong hinh số 3 </t>
  </si>
  <si>
    <t xml:space="preserve"> - Xử lý tình huống trên đường</t>
  </si>
  <si>
    <t xml:space="preserve"> - Vòng tránh khi xe vào đường xấu.</t>
  </si>
  <si>
    <t xml:space="preserve"> - Độc lập điều khiển xe trên đường vào ban đêm</t>
  </si>
  <si>
    <t>D</t>
  </si>
  <si>
    <t>…..................................................................</t>
  </si>
  <si>
    <t>Biển số xe tập lái số:</t>
  </si>
  <si>
    <t>….........................................</t>
  </si>
  <si>
    <t>…..........</t>
  </si>
  <si>
    <t>…..............</t>
  </si>
  <si>
    <t xml:space="preserve">                                       Mã Khóa:</t>
  </si>
  <si>
    <t>…................................................</t>
  </si>
  <si>
    <t xml:space="preserve"> Nhận xét của Giáo Viên : </t>
  </si>
  <si>
    <t>Số CMND/HC</t>
  </si>
  <si>
    <t>Địa chỉ thường trú</t>
  </si>
  <si>
    <t>Hạn giấy phép xe tập lái</t>
  </si>
  <si>
    <t>K…</t>
  </si>
  <si>
    <t>Năm 2025</t>
  </si>
  <si>
    <r>
      <rPr>
        <b/>
        <u/>
        <sz val="11"/>
        <color theme="1"/>
        <rFont val="Times New Roman"/>
        <family val="1"/>
      </rPr>
      <t>Bài 4:</t>
    </r>
    <r>
      <rPr>
        <b/>
        <sz val="11"/>
        <color theme="1"/>
        <rFont val="Times New Roman"/>
        <family val="1"/>
      </rPr>
      <t xml:space="preserve"> Bài tập lái xe tổng hợp</t>
    </r>
  </si>
  <si>
    <t>giờ</t>
  </si>
  <si>
    <t>km</t>
  </si>
  <si>
    <t>79029K25C…..</t>
  </si>
  <si>
    <t>(Thực hành hạng C1-C)</t>
  </si>
  <si>
    <t>C1-C</t>
  </si>
  <si>
    <t>DIỆP LƯƠNG AN</t>
  </si>
  <si>
    <t>Tổ 5 Ấp 2 X. Thanh Sơn, H. Định Quán, T. Đồng Nai</t>
  </si>
  <si>
    <t>ĐẶNG VĂN ĐEN</t>
  </si>
  <si>
    <t>21/23/6 Đất Thánh P.06, Q. Tân Bình, TP. Hồ Chí Minh</t>
  </si>
  <si>
    <t>LÝ HUỲNH ĐỨC DUY</t>
  </si>
  <si>
    <t>167 Nguyễn Văn Công P.03, Q. Gò Vấp, TP. Hồ Chí Minh</t>
  </si>
  <si>
    <t>HỒ TUẤN KIỆT</t>
  </si>
  <si>
    <t>250/25/15 Nguyễn Thượng Hiền P.05, Q. Phú Nhuận, TP. Hồ Chí Minh</t>
  </si>
  <si>
    <t>TRẦN HỮU LONG</t>
  </si>
  <si>
    <t>Ấp Giồng Lớn X. Mỹ Hạnh Nam, H. Đức Hòa, T. Long An</t>
  </si>
  <si>
    <t>PHẠM VĂN PHÚ</t>
  </si>
  <si>
    <t>Số 337 Bình Mỹ Ấp 6B X. Bình Mỹ, H. Củ Chi, TP. Hồ Chí Minh</t>
  </si>
  <si>
    <t>ĐỖ HỮU PHƯỚC</t>
  </si>
  <si>
    <t>03 Nguyễn Văn Ngọc P. Tân Thành, Q. Tân Phú, TP. Hồ Chí Minh</t>
  </si>
  <si>
    <t>ĐINH THANH TOÀN</t>
  </si>
  <si>
    <t>Ấp 4 X. Tân An Luông, H. Vũng Liêm, T. Vĩnh Long</t>
  </si>
  <si>
    <t>HIỀN</t>
  </si>
  <si>
    <t>C BÌNH</t>
  </si>
  <si>
    <t>NGA</t>
  </si>
  <si>
    <t>CHỈNH</t>
  </si>
  <si>
    <t>PHẠM VĂN ĐẶNG</t>
  </si>
  <si>
    <t>51C-63517</t>
  </si>
  <si>
    <t>Tập lái trong bãi phẳng .</t>
  </si>
  <si>
    <t>Tập lái xe trong hình số 3, số 8 ghép; tiến lùi theo hình chữ chi</t>
  </si>
  <si>
    <t>Tập lái xe trên đường bằng</t>
  </si>
  <si>
    <t>Bài tập lái xe tổng hợp</t>
  </si>
  <si>
    <t>Tập lái xe trên đường dốc, đường vòng quanh co</t>
  </si>
  <si>
    <t>Tập lái xe trên đường phức tạp</t>
  </si>
  <si>
    <t xml:space="preserve"> Tập lái xe ban đêm</t>
  </si>
  <si>
    <t>Tập lái xe có tải</t>
  </si>
  <si>
    <t xml:space="preserve"> hạng C1-C</t>
  </si>
  <si>
    <t>4/1hv
32h/8hv</t>
  </si>
  <si>
    <t>5h/1hv
40h/8hv
Thực hiện 50%</t>
  </si>
  <si>
    <t>15km/1hv
120km/8hv</t>
  </si>
  <si>
    <t>105km/1hv=840km/10hv</t>
  </si>
  <si>
    <r>
      <rPr>
        <b/>
        <u/>
        <sz val="11"/>
        <color indexed="8"/>
        <rFont val="Times New Roman"/>
        <family val="1"/>
      </rPr>
      <t>Bài 2</t>
    </r>
    <r>
      <rPr>
        <b/>
        <sz val="11"/>
        <color indexed="8"/>
        <rFont val="Times New Roman"/>
        <family val="1"/>
      </rPr>
      <t>: Tập lái xe trong hình số 3, số 8 ghép; tiến lùi theo hình chữ chi</t>
    </r>
  </si>
  <si>
    <r>
      <rPr>
        <b/>
        <u/>
        <sz val="11"/>
        <color rgb="FF000000"/>
        <rFont val="Times New Roman"/>
        <family val="1"/>
      </rPr>
      <t>Bài 3</t>
    </r>
    <r>
      <rPr>
        <b/>
        <sz val="11"/>
        <color rgb="FF000000"/>
        <rFont val="Times New Roman"/>
        <family val="1"/>
      </rPr>
      <t>: Tập lái xe trên đường bằng</t>
    </r>
  </si>
  <si>
    <t xml:space="preserve"> - Học viên độc lập lái xe trên sa hình</t>
  </si>
  <si>
    <t xml:space="preserve">Số Giờ Thực
Hành
</t>
  </si>
  <si>
    <t>Trưởng Ban nghề</t>
  </si>
  <si>
    <t>Số Giờ Thực
Hành</t>
  </si>
  <si>
    <t>Bài 5: Tập lái xe trên đường dốc, đường vòng quanh co</t>
  </si>
  <si>
    <t xml:space="preserve"> - Phán đoán, xử trí và thực hiện các biện pháp an toàn</t>
  </si>
  <si>
    <t>Bài 6: Tập lái trên đường phức tạp</t>
  </si>
  <si>
    <t>Bài 7: Tập lái ban đêm</t>
  </si>
  <si>
    <t>Bài 8: Tập lái xe có tải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</si>
</sst>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indexed="8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name val="Times New Roman"/>
      <family val="1"/>
    </font>
    <font>
      <b/>
      <u/>
      <sz val="11"/>
      <color indexed="8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26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rgb="FF000000"/>
      <name val="Times New Roman"/>
      <family val="1"/>
    </font>
    <font>
      <b/>
      <i/>
      <sz val="12"/>
      <color indexed="8"/>
      <name val="Times New Roman"/>
      <family val="1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/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5" fillId="0" borderId="0" xfId="0" applyFont="1"/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10" fillId="0" borderId="0" xfId="0" applyFont="1"/>
    <xf numFmtId="164" fontId="9" fillId="0" borderId="1" xfId="0" applyNumberFormat="1" applyFont="1" applyBorder="1" applyAlignment="1">
      <alignment horizontal="center" vertical="center"/>
    </xf>
    <xf numFmtId="164" fontId="9" fillId="0" borderId="6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5" xfId="0" applyFont="1" applyBorder="1" applyAlignment="1">
      <alignment vertical="center"/>
    </xf>
    <xf numFmtId="14" fontId="8" fillId="0" borderId="25" xfId="0" applyNumberFormat="1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9" fillId="0" borderId="0" xfId="0" applyFont="1"/>
    <xf numFmtId="0" fontId="21" fillId="0" borderId="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4" fontId="21" fillId="0" borderId="4" xfId="0" applyNumberFormat="1" applyFont="1" applyBorder="1" applyAlignment="1">
      <alignment horizontal="right" vertical="center"/>
    </xf>
    <xf numFmtId="14" fontId="21" fillId="0" borderId="8" xfId="0" applyNumberFormat="1" applyFont="1" applyBorder="1" applyAlignment="1">
      <alignment horizontal="right" vertical="center"/>
    </xf>
    <xf numFmtId="14" fontId="21" fillId="0" borderId="10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0" fontId="15" fillId="0" borderId="0" xfId="0" applyFont="1" applyAlignment="1">
      <alignment horizontal="left" vertical="center"/>
    </xf>
    <xf numFmtId="0" fontId="1" fillId="0" borderId="1" xfId="0" applyFont="1" applyBorder="1"/>
    <xf numFmtId="14" fontId="5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wrapText="1"/>
    </xf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28" xfId="0" applyFont="1" applyBorder="1"/>
    <xf numFmtId="0" fontId="10" fillId="0" borderId="33" xfId="0" applyFont="1" applyBorder="1"/>
    <xf numFmtId="0" fontId="10" fillId="0" borderId="27" xfId="0" applyFont="1" applyBorder="1"/>
    <xf numFmtId="0" fontId="10" fillId="0" borderId="34" xfId="0" applyFont="1" applyBorder="1"/>
    <xf numFmtId="0" fontId="2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32" xfId="0" applyFont="1" applyBorder="1" applyAlignment="1">
      <alignment horizontal="left" vertical="center"/>
    </xf>
    <xf numFmtId="0" fontId="22" fillId="0" borderId="28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164" fontId="9" fillId="0" borderId="12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8" fillId="0" borderId="0" xfId="0" applyFont="1" applyAlignment="1">
      <alignment horizontal="left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 applyProtection="1">
      <alignment horizontal="center" vertical="center"/>
      <protection locked="0"/>
    </xf>
    <xf numFmtId="0" fontId="21" fillId="0" borderId="42" xfId="0" applyFont="1" applyBorder="1" applyAlignment="1" applyProtection="1">
      <alignment horizontal="center" vertical="center"/>
      <protection locked="0"/>
    </xf>
    <xf numFmtId="0" fontId="21" fillId="0" borderId="42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14" fontId="21" fillId="0" borderId="41" xfId="0" applyNumberFormat="1" applyFont="1" applyBorder="1" applyAlignment="1">
      <alignment horizontal="right" vertical="center"/>
    </xf>
    <xf numFmtId="14" fontId="1" fillId="0" borderId="21" xfId="0" applyNumberFormat="1" applyFont="1" applyBorder="1" applyAlignment="1">
      <alignment horizontal="right" vertical="center"/>
    </xf>
    <xf numFmtId="14" fontId="21" fillId="0" borderId="40" xfId="0" applyNumberFormat="1" applyFont="1" applyBorder="1" applyAlignment="1">
      <alignment horizontal="right" vertical="center"/>
    </xf>
    <xf numFmtId="0" fontId="1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1" fillId="0" borderId="43" xfId="0" applyFont="1" applyBorder="1" applyAlignment="1" applyProtection="1">
      <alignment horizontal="center" vertical="center"/>
      <protection locked="0"/>
    </xf>
    <xf numFmtId="14" fontId="1" fillId="0" borderId="41" xfId="0" applyNumberFormat="1" applyFont="1" applyBorder="1" applyAlignment="1">
      <alignment horizontal="right" vertical="center"/>
    </xf>
    <xf numFmtId="14" fontId="1" fillId="0" borderId="40" xfId="0" applyNumberFormat="1" applyFont="1" applyBorder="1" applyAlignment="1">
      <alignment horizontal="right" vertical="center"/>
    </xf>
    <xf numFmtId="14" fontId="17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9" fillId="0" borderId="0" xfId="0" applyFont="1"/>
    <xf numFmtId="0" fontId="31" fillId="0" borderId="1" xfId="0" applyFont="1" applyBorder="1"/>
    <xf numFmtId="0" fontId="32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3" fillId="0" borderId="0" xfId="0" applyFont="1"/>
    <xf numFmtId="49" fontId="33" fillId="0" borderId="0" xfId="0" applyNumberFormat="1" applyFont="1"/>
    <xf numFmtId="0" fontId="33" fillId="0" borderId="0" xfId="0" applyFont="1" applyAlignment="1">
      <alignment vertical="center"/>
    </xf>
    <xf numFmtId="0" fontId="34" fillId="0" borderId="23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49" fontId="34" fillId="0" borderId="24" xfId="0" applyNumberFormat="1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33" fillId="0" borderId="6" xfId="0" applyFont="1" applyBorder="1"/>
    <xf numFmtId="14" fontId="33" fillId="0" borderId="6" xfId="0" applyNumberFormat="1" applyFont="1" applyBorder="1"/>
    <xf numFmtId="49" fontId="33" fillId="0" borderId="6" xfId="0" applyNumberFormat="1" applyFont="1" applyBorder="1"/>
    <xf numFmtId="0" fontId="33" fillId="0" borderId="45" xfId="0" applyFont="1" applyBorder="1"/>
    <xf numFmtId="0" fontId="33" fillId="0" borderId="35" xfId="0" applyFont="1" applyBorder="1"/>
    <xf numFmtId="14" fontId="33" fillId="0" borderId="35" xfId="0" applyNumberFormat="1" applyFont="1" applyBorder="1"/>
    <xf numFmtId="49" fontId="33" fillId="0" borderId="35" xfId="0" applyNumberFormat="1" applyFont="1" applyBorder="1"/>
    <xf numFmtId="0" fontId="33" fillId="0" borderId="46" xfId="0" applyFont="1" applyBorder="1"/>
    <xf numFmtId="0" fontId="33" fillId="0" borderId="36" xfId="0" applyFont="1" applyBorder="1"/>
    <xf numFmtId="0" fontId="33" fillId="0" borderId="1" xfId="0" applyFont="1" applyBorder="1"/>
    <xf numFmtId="14" fontId="33" fillId="0" borderId="1" xfId="0" applyNumberFormat="1" applyFont="1" applyBorder="1"/>
    <xf numFmtId="49" fontId="33" fillId="0" borderId="1" xfId="0" applyNumberFormat="1" applyFont="1" applyBorder="1"/>
    <xf numFmtId="0" fontId="33" fillId="0" borderId="17" xfId="0" applyFont="1" applyBorder="1"/>
    <xf numFmtId="0" fontId="33" fillId="0" borderId="12" xfId="0" applyFont="1" applyBorder="1"/>
    <xf numFmtId="14" fontId="33" fillId="0" borderId="12" xfId="0" applyNumberFormat="1" applyFont="1" applyBorder="1"/>
    <xf numFmtId="49" fontId="33" fillId="0" borderId="12" xfId="0" applyNumberFormat="1" applyFont="1" applyBorder="1"/>
    <xf numFmtId="0" fontId="33" fillId="0" borderId="20" xfId="0" applyFont="1" applyBorder="1"/>
    <xf numFmtId="0" fontId="33" fillId="0" borderId="15" xfId="0" applyFont="1" applyBorder="1"/>
    <xf numFmtId="0" fontId="33" fillId="2" borderId="6" xfId="0" applyFont="1" applyFill="1" applyBorder="1"/>
    <xf numFmtId="14" fontId="33" fillId="2" borderId="6" xfId="0" applyNumberFormat="1" applyFont="1" applyFill="1" applyBorder="1"/>
    <xf numFmtId="49" fontId="33" fillId="2" borderId="6" xfId="0" applyNumberFormat="1" applyFont="1" applyFill="1" applyBorder="1"/>
    <xf numFmtId="0" fontId="3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32" fillId="0" borderId="1" xfId="0" applyNumberFormat="1" applyFont="1" applyBorder="1"/>
    <xf numFmtId="0" fontId="3" fillId="0" borderId="43" xfId="0" applyFont="1" applyBorder="1" applyAlignment="1">
      <alignment vertical="center" wrapText="1"/>
    </xf>
    <xf numFmtId="0" fontId="10" fillId="0" borderId="12" xfId="0" applyFont="1" applyBorder="1" applyAlignment="1">
      <alignment horizontal="center" vertical="center"/>
    </xf>
    <xf numFmtId="14" fontId="8" fillId="0" borderId="49" xfId="0" applyNumberFormat="1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14" fontId="8" fillId="0" borderId="50" xfId="0" applyNumberFormat="1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3" fillId="0" borderId="4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5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49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/>
    </xf>
    <xf numFmtId="14" fontId="8" fillId="0" borderId="47" xfId="0" applyNumberFormat="1" applyFont="1" applyBorder="1" applyAlignment="1">
      <alignment horizontal="center" vertical="center"/>
    </xf>
    <xf numFmtId="14" fontId="8" fillId="0" borderId="39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1" fillId="0" borderId="45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8" fillId="0" borderId="8" xfId="0" applyFont="1" applyBorder="1" applyAlignment="1">
      <alignment horizontal="left" vertical="center"/>
    </xf>
    <xf numFmtId="0" fontId="11" fillId="0" borderId="1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1" fillId="0" borderId="48" xfId="0" applyFont="1" applyBorder="1" applyAlignment="1">
      <alignment wrapText="1"/>
    </xf>
    <xf numFmtId="0" fontId="11" fillId="0" borderId="1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6" fontId="8" fillId="0" borderId="8" xfId="0" applyNumberFormat="1" applyFont="1" applyBorder="1" applyAlignment="1">
      <alignment horizontal="left" vertical="center"/>
    </xf>
    <xf numFmtId="0" fontId="8" fillId="0" borderId="51" xfId="0" applyFont="1" applyBorder="1" applyAlignment="1">
      <alignment horizontal="left" vertical="center"/>
    </xf>
    <xf numFmtId="0" fontId="11" fillId="0" borderId="2" xfId="0" applyFont="1" applyBorder="1" applyAlignment="1">
      <alignment wrapText="1"/>
    </xf>
    <xf numFmtId="0" fontId="11" fillId="0" borderId="52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5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/>
    </xf>
    <xf numFmtId="0" fontId="11" fillId="0" borderId="12" xfId="0" applyFont="1" applyBorder="1" applyAlignment="1">
      <alignment wrapText="1"/>
    </xf>
    <xf numFmtId="0" fontId="11" fillId="0" borderId="11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164" fontId="9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194A-83D3-4AB1-9119-5D4BBCCCC868}">
  <dimension ref="A1:F31"/>
  <sheetViews>
    <sheetView workbookViewId="0">
      <selection activeCell="B2" sqref="B2:F9"/>
    </sheetView>
  </sheetViews>
  <sheetFormatPr defaultRowHeight="12.75" x14ac:dyDescent="0.2"/>
  <cols>
    <col min="1" max="1" width="4.5703125" style="94" bestFit="1" customWidth="1"/>
    <col min="2" max="2" width="25" style="94" bestFit="1" customWidth="1"/>
    <col min="3" max="3" width="10.140625" style="94" bestFit="1" customWidth="1"/>
    <col min="4" max="4" width="13.140625" style="94" bestFit="1" customWidth="1"/>
    <col min="5" max="5" width="67.5703125" style="94" bestFit="1" customWidth="1"/>
    <col min="6" max="6" width="23.85546875" style="94" bestFit="1" customWidth="1"/>
    <col min="7" max="229" width="9.140625" style="94"/>
    <col min="230" max="230" width="4.5703125" style="94" bestFit="1" customWidth="1"/>
    <col min="231" max="231" width="25" style="94" bestFit="1" customWidth="1"/>
    <col min="232" max="232" width="10.140625" style="94" bestFit="1" customWidth="1"/>
    <col min="233" max="233" width="13.140625" style="94" bestFit="1" customWidth="1"/>
    <col min="234" max="234" width="67.5703125" style="94" bestFit="1" customWidth="1"/>
    <col min="235" max="235" width="15.85546875" style="94" bestFit="1" customWidth="1"/>
    <col min="236" max="485" width="9.140625" style="94"/>
    <col min="486" max="486" width="4.5703125" style="94" bestFit="1" customWidth="1"/>
    <col min="487" max="487" width="25" style="94" bestFit="1" customWidth="1"/>
    <col min="488" max="488" width="10.140625" style="94" bestFit="1" customWidth="1"/>
    <col min="489" max="489" width="13.140625" style="94" bestFit="1" customWidth="1"/>
    <col min="490" max="490" width="67.5703125" style="94" bestFit="1" customWidth="1"/>
    <col min="491" max="491" width="15.85546875" style="94" bestFit="1" customWidth="1"/>
    <col min="492" max="741" width="9.140625" style="94"/>
    <col min="742" max="742" width="4.5703125" style="94" bestFit="1" customWidth="1"/>
    <col min="743" max="743" width="25" style="94" bestFit="1" customWidth="1"/>
    <col min="744" max="744" width="10.140625" style="94" bestFit="1" customWidth="1"/>
    <col min="745" max="745" width="13.140625" style="94" bestFit="1" customWidth="1"/>
    <col min="746" max="746" width="67.5703125" style="94" bestFit="1" customWidth="1"/>
    <col min="747" max="747" width="15.85546875" style="94" bestFit="1" customWidth="1"/>
    <col min="748" max="997" width="9.140625" style="94"/>
    <col min="998" max="998" width="4.5703125" style="94" bestFit="1" customWidth="1"/>
    <col min="999" max="999" width="25" style="94" bestFit="1" customWidth="1"/>
    <col min="1000" max="1000" width="10.140625" style="94" bestFit="1" customWidth="1"/>
    <col min="1001" max="1001" width="13.140625" style="94" bestFit="1" customWidth="1"/>
    <col min="1002" max="1002" width="67.5703125" style="94" bestFit="1" customWidth="1"/>
    <col min="1003" max="1003" width="15.85546875" style="94" bestFit="1" customWidth="1"/>
    <col min="1004" max="1253" width="9.140625" style="94"/>
    <col min="1254" max="1254" width="4.5703125" style="94" bestFit="1" customWidth="1"/>
    <col min="1255" max="1255" width="25" style="94" bestFit="1" customWidth="1"/>
    <col min="1256" max="1256" width="10.140625" style="94" bestFit="1" customWidth="1"/>
    <col min="1257" max="1257" width="13.140625" style="94" bestFit="1" customWidth="1"/>
    <col min="1258" max="1258" width="67.5703125" style="94" bestFit="1" customWidth="1"/>
    <col min="1259" max="1259" width="15.85546875" style="94" bestFit="1" customWidth="1"/>
    <col min="1260" max="1509" width="9.140625" style="94"/>
    <col min="1510" max="1510" width="4.5703125" style="94" bestFit="1" customWidth="1"/>
    <col min="1511" max="1511" width="25" style="94" bestFit="1" customWidth="1"/>
    <col min="1512" max="1512" width="10.140625" style="94" bestFit="1" customWidth="1"/>
    <col min="1513" max="1513" width="13.140625" style="94" bestFit="1" customWidth="1"/>
    <col min="1514" max="1514" width="67.5703125" style="94" bestFit="1" customWidth="1"/>
    <col min="1515" max="1515" width="15.85546875" style="94" bestFit="1" customWidth="1"/>
    <col min="1516" max="1765" width="9.140625" style="94"/>
    <col min="1766" max="1766" width="4.5703125" style="94" bestFit="1" customWidth="1"/>
    <col min="1767" max="1767" width="25" style="94" bestFit="1" customWidth="1"/>
    <col min="1768" max="1768" width="10.140625" style="94" bestFit="1" customWidth="1"/>
    <col min="1769" max="1769" width="13.140625" style="94" bestFit="1" customWidth="1"/>
    <col min="1770" max="1770" width="67.5703125" style="94" bestFit="1" customWidth="1"/>
    <col min="1771" max="1771" width="15.85546875" style="94" bestFit="1" customWidth="1"/>
    <col min="1772" max="2021" width="9.140625" style="94"/>
    <col min="2022" max="2022" width="4.5703125" style="94" bestFit="1" customWidth="1"/>
    <col min="2023" max="2023" width="25" style="94" bestFit="1" customWidth="1"/>
    <col min="2024" max="2024" width="10.140625" style="94" bestFit="1" customWidth="1"/>
    <col min="2025" max="2025" width="13.140625" style="94" bestFit="1" customWidth="1"/>
    <col min="2026" max="2026" width="67.5703125" style="94" bestFit="1" customWidth="1"/>
    <col min="2027" max="2027" width="15.85546875" style="94" bestFit="1" customWidth="1"/>
    <col min="2028" max="2277" width="9.140625" style="94"/>
    <col min="2278" max="2278" width="4.5703125" style="94" bestFit="1" customWidth="1"/>
    <col min="2279" max="2279" width="25" style="94" bestFit="1" customWidth="1"/>
    <col min="2280" max="2280" width="10.140625" style="94" bestFit="1" customWidth="1"/>
    <col min="2281" max="2281" width="13.140625" style="94" bestFit="1" customWidth="1"/>
    <col min="2282" max="2282" width="67.5703125" style="94" bestFit="1" customWidth="1"/>
    <col min="2283" max="2283" width="15.85546875" style="94" bestFit="1" customWidth="1"/>
    <col min="2284" max="2533" width="9.140625" style="94"/>
    <col min="2534" max="2534" width="4.5703125" style="94" bestFit="1" customWidth="1"/>
    <col min="2535" max="2535" width="25" style="94" bestFit="1" customWidth="1"/>
    <col min="2536" max="2536" width="10.140625" style="94" bestFit="1" customWidth="1"/>
    <col min="2537" max="2537" width="13.140625" style="94" bestFit="1" customWidth="1"/>
    <col min="2538" max="2538" width="67.5703125" style="94" bestFit="1" customWidth="1"/>
    <col min="2539" max="2539" width="15.85546875" style="94" bestFit="1" customWidth="1"/>
    <col min="2540" max="2789" width="9.140625" style="94"/>
    <col min="2790" max="2790" width="4.5703125" style="94" bestFit="1" customWidth="1"/>
    <col min="2791" max="2791" width="25" style="94" bestFit="1" customWidth="1"/>
    <col min="2792" max="2792" width="10.140625" style="94" bestFit="1" customWidth="1"/>
    <col min="2793" max="2793" width="13.140625" style="94" bestFit="1" customWidth="1"/>
    <col min="2794" max="2794" width="67.5703125" style="94" bestFit="1" customWidth="1"/>
    <col min="2795" max="2795" width="15.85546875" style="94" bestFit="1" customWidth="1"/>
    <col min="2796" max="3045" width="9.140625" style="94"/>
    <col min="3046" max="3046" width="4.5703125" style="94" bestFit="1" customWidth="1"/>
    <col min="3047" max="3047" width="25" style="94" bestFit="1" customWidth="1"/>
    <col min="3048" max="3048" width="10.140625" style="94" bestFit="1" customWidth="1"/>
    <col min="3049" max="3049" width="13.140625" style="94" bestFit="1" customWidth="1"/>
    <col min="3050" max="3050" width="67.5703125" style="94" bestFit="1" customWidth="1"/>
    <col min="3051" max="3051" width="15.85546875" style="94" bestFit="1" customWidth="1"/>
    <col min="3052" max="3301" width="9.140625" style="94"/>
    <col min="3302" max="3302" width="4.5703125" style="94" bestFit="1" customWidth="1"/>
    <col min="3303" max="3303" width="25" style="94" bestFit="1" customWidth="1"/>
    <col min="3304" max="3304" width="10.140625" style="94" bestFit="1" customWidth="1"/>
    <col min="3305" max="3305" width="13.140625" style="94" bestFit="1" customWidth="1"/>
    <col min="3306" max="3306" width="67.5703125" style="94" bestFit="1" customWidth="1"/>
    <col min="3307" max="3307" width="15.85546875" style="94" bestFit="1" customWidth="1"/>
    <col min="3308" max="3557" width="9.140625" style="94"/>
    <col min="3558" max="3558" width="4.5703125" style="94" bestFit="1" customWidth="1"/>
    <col min="3559" max="3559" width="25" style="94" bestFit="1" customWidth="1"/>
    <col min="3560" max="3560" width="10.140625" style="94" bestFit="1" customWidth="1"/>
    <col min="3561" max="3561" width="13.140625" style="94" bestFit="1" customWidth="1"/>
    <col min="3562" max="3562" width="67.5703125" style="94" bestFit="1" customWidth="1"/>
    <col min="3563" max="3563" width="15.85546875" style="94" bestFit="1" customWidth="1"/>
    <col min="3564" max="3813" width="9.140625" style="94"/>
    <col min="3814" max="3814" width="4.5703125" style="94" bestFit="1" customWidth="1"/>
    <col min="3815" max="3815" width="25" style="94" bestFit="1" customWidth="1"/>
    <col min="3816" max="3816" width="10.140625" style="94" bestFit="1" customWidth="1"/>
    <col min="3817" max="3817" width="13.140625" style="94" bestFit="1" customWidth="1"/>
    <col min="3818" max="3818" width="67.5703125" style="94" bestFit="1" customWidth="1"/>
    <col min="3819" max="3819" width="15.85546875" style="94" bestFit="1" customWidth="1"/>
    <col min="3820" max="4069" width="9.140625" style="94"/>
    <col min="4070" max="4070" width="4.5703125" style="94" bestFit="1" customWidth="1"/>
    <col min="4071" max="4071" width="25" style="94" bestFit="1" customWidth="1"/>
    <col min="4072" max="4072" width="10.140625" style="94" bestFit="1" customWidth="1"/>
    <col min="4073" max="4073" width="13.140625" style="94" bestFit="1" customWidth="1"/>
    <col min="4074" max="4074" width="67.5703125" style="94" bestFit="1" customWidth="1"/>
    <col min="4075" max="4075" width="15.85546875" style="94" bestFit="1" customWidth="1"/>
    <col min="4076" max="4325" width="9.140625" style="94"/>
    <col min="4326" max="4326" width="4.5703125" style="94" bestFit="1" customWidth="1"/>
    <col min="4327" max="4327" width="25" style="94" bestFit="1" customWidth="1"/>
    <col min="4328" max="4328" width="10.140625" style="94" bestFit="1" customWidth="1"/>
    <col min="4329" max="4329" width="13.140625" style="94" bestFit="1" customWidth="1"/>
    <col min="4330" max="4330" width="67.5703125" style="94" bestFit="1" customWidth="1"/>
    <col min="4331" max="4331" width="15.85546875" style="94" bestFit="1" customWidth="1"/>
    <col min="4332" max="4581" width="9.140625" style="94"/>
    <col min="4582" max="4582" width="4.5703125" style="94" bestFit="1" customWidth="1"/>
    <col min="4583" max="4583" width="25" style="94" bestFit="1" customWidth="1"/>
    <col min="4584" max="4584" width="10.140625" style="94" bestFit="1" customWidth="1"/>
    <col min="4585" max="4585" width="13.140625" style="94" bestFit="1" customWidth="1"/>
    <col min="4586" max="4586" width="67.5703125" style="94" bestFit="1" customWidth="1"/>
    <col min="4587" max="4587" width="15.85546875" style="94" bestFit="1" customWidth="1"/>
    <col min="4588" max="4837" width="9.140625" style="94"/>
    <col min="4838" max="4838" width="4.5703125" style="94" bestFit="1" customWidth="1"/>
    <col min="4839" max="4839" width="25" style="94" bestFit="1" customWidth="1"/>
    <col min="4840" max="4840" width="10.140625" style="94" bestFit="1" customWidth="1"/>
    <col min="4841" max="4841" width="13.140625" style="94" bestFit="1" customWidth="1"/>
    <col min="4842" max="4842" width="67.5703125" style="94" bestFit="1" customWidth="1"/>
    <col min="4843" max="4843" width="15.85546875" style="94" bestFit="1" customWidth="1"/>
    <col min="4844" max="5093" width="9.140625" style="94"/>
    <col min="5094" max="5094" width="4.5703125" style="94" bestFit="1" customWidth="1"/>
    <col min="5095" max="5095" width="25" style="94" bestFit="1" customWidth="1"/>
    <col min="5096" max="5096" width="10.140625" style="94" bestFit="1" customWidth="1"/>
    <col min="5097" max="5097" width="13.140625" style="94" bestFit="1" customWidth="1"/>
    <col min="5098" max="5098" width="67.5703125" style="94" bestFit="1" customWidth="1"/>
    <col min="5099" max="5099" width="15.85546875" style="94" bestFit="1" customWidth="1"/>
    <col min="5100" max="5349" width="9.140625" style="94"/>
    <col min="5350" max="5350" width="4.5703125" style="94" bestFit="1" customWidth="1"/>
    <col min="5351" max="5351" width="25" style="94" bestFit="1" customWidth="1"/>
    <col min="5352" max="5352" width="10.140625" style="94" bestFit="1" customWidth="1"/>
    <col min="5353" max="5353" width="13.140625" style="94" bestFit="1" customWidth="1"/>
    <col min="5354" max="5354" width="67.5703125" style="94" bestFit="1" customWidth="1"/>
    <col min="5355" max="5355" width="15.85546875" style="94" bestFit="1" customWidth="1"/>
    <col min="5356" max="5605" width="9.140625" style="94"/>
    <col min="5606" max="5606" width="4.5703125" style="94" bestFit="1" customWidth="1"/>
    <col min="5607" max="5607" width="25" style="94" bestFit="1" customWidth="1"/>
    <col min="5608" max="5608" width="10.140625" style="94" bestFit="1" customWidth="1"/>
    <col min="5609" max="5609" width="13.140625" style="94" bestFit="1" customWidth="1"/>
    <col min="5610" max="5610" width="67.5703125" style="94" bestFit="1" customWidth="1"/>
    <col min="5611" max="5611" width="15.85546875" style="94" bestFit="1" customWidth="1"/>
    <col min="5612" max="5861" width="9.140625" style="94"/>
    <col min="5862" max="5862" width="4.5703125" style="94" bestFit="1" customWidth="1"/>
    <col min="5863" max="5863" width="25" style="94" bestFit="1" customWidth="1"/>
    <col min="5864" max="5864" width="10.140625" style="94" bestFit="1" customWidth="1"/>
    <col min="5865" max="5865" width="13.140625" style="94" bestFit="1" customWidth="1"/>
    <col min="5866" max="5866" width="67.5703125" style="94" bestFit="1" customWidth="1"/>
    <col min="5867" max="5867" width="15.85546875" style="94" bestFit="1" customWidth="1"/>
    <col min="5868" max="6117" width="9.140625" style="94"/>
    <col min="6118" max="6118" width="4.5703125" style="94" bestFit="1" customWidth="1"/>
    <col min="6119" max="6119" width="25" style="94" bestFit="1" customWidth="1"/>
    <col min="6120" max="6120" width="10.140625" style="94" bestFit="1" customWidth="1"/>
    <col min="6121" max="6121" width="13.140625" style="94" bestFit="1" customWidth="1"/>
    <col min="6122" max="6122" width="67.5703125" style="94" bestFit="1" customWidth="1"/>
    <col min="6123" max="6123" width="15.85546875" style="94" bestFit="1" customWidth="1"/>
    <col min="6124" max="6373" width="9.140625" style="94"/>
    <col min="6374" max="6374" width="4.5703125" style="94" bestFit="1" customWidth="1"/>
    <col min="6375" max="6375" width="25" style="94" bestFit="1" customWidth="1"/>
    <col min="6376" max="6376" width="10.140625" style="94" bestFit="1" customWidth="1"/>
    <col min="6377" max="6377" width="13.140625" style="94" bestFit="1" customWidth="1"/>
    <col min="6378" max="6378" width="67.5703125" style="94" bestFit="1" customWidth="1"/>
    <col min="6379" max="6379" width="15.85546875" style="94" bestFit="1" customWidth="1"/>
    <col min="6380" max="6629" width="9.140625" style="94"/>
    <col min="6630" max="6630" width="4.5703125" style="94" bestFit="1" customWidth="1"/>
    <col min="6631" max="6631" width="25" style="94" bestFit="1" customWidth="1"/>
    <col min="6632" max="6632" width="10.140625" style="94" bestFit="1" customWidth="1"/>
    <col min="6633" max="6633" width="13.140625" style="94" bestFit="1" customWidth="1"/>
    <col min="6634" max="6634" width="67.5703125" style="94" bestFit="1" customWidth="1"/>
    <col min="6635" max="6635" width="15.85546875" style="94" bestFit="1" customWidth="1"/>
    <col min="6636" max="6885" width="9.140625" style="94"/>
    <col min="6886" max="6886" width="4.5703125" style="94" bestFit="1" customWidth="1"/>
    <col min="6887" max="6887" width="25" style="94" bestFit="1" customWidth="1"/>
    <col min="6888" max="6888" width="10.140625" style="94" bestFit="1" customWidth="1"/>
    <col min="6889" max="6889" width="13.140625" style="94" bestFit="1" customWidth="1"/>
    <col min="6890" max="6890" width="67.5703125" style="94" bestFit="1" customWidth="1"/>
    <col min="6891" max="6891" width="15.85546875" style="94" bestFit="1" customWidth="1"/>
    <col min="6892" max="7141" width="9.140625" style="94"/>
    <col min="7142" max="7142" width="4.5703125" style="94" bestFit="1" customWidth="1"/>
    <col min="7143" max="7143" width="25" style="94" bestFit="1" customWidth="1"/>
    <col min="7144" max="7144" width="10.140625" style="94" bestFit="1" customWidth="1"/>
    <col min="7145" max="7145" width="13.140625" style="94" bestFit="1" customWidth="1"/>
    <col min="7146" max="7146" width="67.5703125" style="94" bestFit="1" customWidth="1"/>
    <col min="7147" max="7147" width="15.85546875" style="94" bestFit="1" customWidth="1"/>
    <col min="7148" max="7397" width="9.140625" style="94"/>
    <col min="7398" max="7398" width="4.5703125" style="94" bestFit="1" customWidth="1"/>
    <col min="7399" max="7399" width="25" style="94" bestFit="1" customWidth="1"/>
    <col min="7400" max="7400" width="10.140625" style="94" bestFit="1" customWidth="1"/>
    <col min="7401" max="7401" width="13.140625" style="94" bestFit="1" customWidth="1"/>
    <col min="7402" max="7402" width="67.5703125" style="94" bestFit="1" customWidth="1"/>
    <col min="7403" max="7403" width="15.85546875" style="94" bestFit="1" customWidth="1"/>
    <col min="7404" max="7653" width="9.140625" style="94"/>
    <col min="7654" max="7654" width="4.5703125" style="94" bestFit="1" customWidth="1"/>
    <col min="7655" max="7655" width="25" style="94" bestFit="1" customWidth="1"/>
    <col min="7656" max="7656" width="10.140625" style="94" bestFit="1" customWidth="1"/>
    <col min="7657" max="7657" width="13.140625" style="94" bestFit="1" customWidth="1"/>
    <col min="7658" max="7658" width="67.5703125" style="94" bestFit="1" customWidth="1"/>
    <col min="7659" max="7659" width="15.85546875" style="94" bestFit="1" customWidth="1"/>
    <col min="7660" max="7909" width="9.140625" style="94"/>
    <col min="7910" max="7910" width="4.5703125" style="94" bestFit="1" customWidth="1"/>
    <col min="7911" max="7911" width="25" style="94" bestFit="1" customWidth="1"/>
    <col min="7912" max="7912" width="10.140625" style="94" bestFit="1" customWidth="1"/>
    <col min="7913" max="7913" width="13.140625" style="94" bestFit="1" customWidth="1"/>
    <col min="7914" max="7914" width="67.5703125" style="94" bestFit="1" customWidth="1"/>
    <col min="7915" max="7915" width="15.85546875" style="94" bestFit="1" customWidth="1"/>
    <col min="7916" max="8165" width="9.140625" style="94"/>
    <col min="8166" max="8166" width="4.5703125" style="94" bestFit="1" customWidth="1"/>
    <col min="8167" max="8167" width="25" style="94" bestFit="1" customWidth="1"/>
    <col min="8168" max="8168" width="10.140625" style="94" bestFit="1" customWidth="1"/>
    <col min="8169" max="8169" width="13.140625" style="94" bestFit="1" customWidth="1"/>
    <col min="8170" max="8170" width="67.5703125" style="94" bestFit="1" customWidth="1"/>
    <col min="8171" max="8171" width="15.85546875" style="94" bestFit="1" customWidth="1"/>
    <col min="8172" max="8421" width="9.140625" style="94"/>
    <col min="8422" max="8422" width="4.5703125" style="94" bestFit="1" customWidth="1"/>
    <col min="8423" max="8423" width="25" style="94" bestFit="1" customWidth="1"/>
    <col min="8424" max="8424" width="10.140625" style="94" bestFit="1" customWidth="1"/>
    <col min="8425" max="8425" width="13.140625" style="94" bestFit="1" customWidth="1"/>
    <col min="8426" max="8426" width="67.5703125" style="94" bestFit="1" customWidth="1"/>
    <col min="8427" max="8427" width="15.85546875" style="94" bestFit="1" customWidth="1"/>
    <col min="8428" max="8677" width="9.140625" style="94"/>
    <col min="8678" max="8678" width="4.5703125" style="94" bestFit="1" customWidth="1"/>
    <col min="8679" max="8679" width="25" style="94" bestFit="1" customWidth="1"/>
    <col min="8680" max="8680" width="10.140625" style="94" bestFit="1" customWidth="1"/>
    <col min="8681" max="8681" width="13.140625" style="94" bestFit="1" customWidth="1"/>
    <col min="8682" max="8682" width="67.5703125" style="94" bestFit="1" customWidth="1"/>
    <col min="8683" max="8683" width="15.85546875" style="94" bestFit="1" customWidth="1"/>
    <col min="8684" max="8933" width="9.140625" style="94"/>
    <col min="8934" max="8934" width="4.5703125" style="94" bestFit="1" customWidth="1"/>
    <col min="8935" max="8935" width="25" style="94" bestFit="1" customWidth="1"/>
    <col min="8936" max="8936" width="10.140625" style="94" bestFit="1" customWidth="1"/>
    <col min="8937" max="8937" width="13.140625" style="94" bestFit="1" customWidth="1"/>
    <col min="8938" max="8938" width="67.5703125" style="94" bestFit="1" customWidth="1"/>
    <col min="8939" max="8939" width="15.85546875" style="94" bestFit="1" customWidth="1"/>
    <col min="8940" max="9189" width="9.140625" style="94"/>
    <col min="9190" max="9190" width="4.5703125" style="94" bestFit="1" customWidth="1"/>
    <col min="9191" max="9191" width="25" style="94" bestFit="1" customWidth="1"/>
    <col min="9192" max="9192" width="10.140625" style="94" bestFit="1" customWidth="1"/>
    <col min="9193" max="9193" width="13.140625" style="94" bestFit="1" customWidth="1"/>
    <col min="9194" max="9194" width="67.5703125" style="94" bestFit="1" customWidth="1"/>
    <col min="9195" max="9195" width="15.85546875" style="94" bestFit="1" customWidth="1"/>
    <col min="9196" max="9445" width="9.140625" style="94"/>
    <col min="9446" max="9446" width="4.5703125" style="94" bestFit="1" customWidth="1"/>
    <col min="9447" max="9447" width="25" style="94" bestFit="1" customWidth="1"/>
    <col min="9448" max="9448" width="10.140625" style="94" bestFit="1" customWidth="1"/>
    <col min="9449" max="9449" width="13.140625" style="94" bestFit="1" customWidth="1"/>
    <col min="9450" max="9450" width="67.5703125" style="94" bestFit="1" customWidth="1"/>
    <col min="9451" max="9451" width="15.85546875" style="94" bestFit="1" customWidth="1"/>
    <col min="9452" max="9701" width="9.140625" style="94"/>
    <col min="9702" max="9702" width="4.5703125" style="94" bestFit="1" customWidth="1"/>
    <col min="9703" max="9703" width="25" style="94" bestFit="1" customWidth="1"/>
    <col min="9704" max="9704" width="10.140625" style="94" bestFit="1" customWidth="1"/>
    <col min="9705" max="9705" width="13.140625" style="94" bestFit="1" customWidth="1"/>
    <col min="9706" max="9706" width="67.5703125" style="94" bestFit="1" customWidth="1"/>
    <col min="9707" max="9707" width="15.85546875" style="94" bestFit="1" customWidth="1"/>
    <col min="9708" max="9957" width="9.140625" style="94"/>
    <col min="9958" max="9958" width="4.5703125" style="94" bestFit="1" customWidth="1"/>
    <col min="9959" max="9959" width="25" style="94" bestFit="1" customWidth="1"/>
    <col min="9960" max="9960" width="10.140625" style="94" bestFit="1" customWidth="1"/>
    <col min="9961" max="9961" width="13.140625" style="94" bestFit="1" customWidth="1"/>
    <col min="9962" max="9962" width="67.5703125" style="94" bestFit="1" customWidth="1"/>
    <col min="9963" max="9963" width="15.85546875" style="94" bestFit="1" customWidth="1"/>
    <col min="9964" max="10213" width="9.140625" style="94"/>
    <col min="10214" max="10214" width="4.5703125" style="94" bestFit="1" customWidth="1"/>
    <col min="10215" max="10215" width="25" style="94" bestFit="1" customWidth="1"/>
    <col min="10216" max="10216" width="10.140625" style="94" bestFit="1" customWidth="1"/>
    <col min="10217" max="10217" width="13.140625" style="94" bestFit="1" customWidth="1"/>
    <col min="10218" max="10218" width="67.5703125" style="94" bestFit="1" customWidth="1"/>
    <col min="10219" max="10219" width="15.85546875" style="94" bestFit="1" customWidth="1"/>
    <col min="10220" max="10469" width="9.140625" style="94"/>
    <col min="10470" max="10470" width="4.5703125" style="94" bestFit="1" customWidth="1"/>
    <col min="10471" max="10471" width="25" style="94" bestFit="1" customWidth="1"/>
    <col min="10472" max="10472" width="10.140625" style="94" bestFit="1" customWidth="1"/>
    <col min="10473" max="10473" width="13.140625" style="94" bestFit="1" customWidth="1"/>
    <col min="10474" max="10474" width="67.5703125" style="94" bestFit="1" customWidth="1"/>
    <col min="10475" max="10475" width="15.85546875" style="94" bestFit="1" customWidth="1"/>
    <col min="10476" max="10725" width="9.140625" style="94"/>
    <col min="10726" max="10726" width="4.5703125" style="94" bestFit="1" customWidth="1"/>
    <col min="10727" max="10727" width="25" style="94" bestFit="1" customWidth="1"/>
    <col min="10728" max="10728" width="10.140625" style="94" bestFit="1" customWidth="1"/>
    <col min="10729" max="10729" width="13.140625" style="94" bestFit="1" customWidth="1"/>
    <col min="10730" max="10730" width="67.5703125" style="94" bestFit="1" customWidth="1"/>
    <col min="10731" max="10731" width="15.85546875" style="94" bestFit="1" customWidth="1"/>
    <col min="10732" max="10981" width="9.140625" style="94"/>
    <col min="10982" max="10982" width="4.5703125" style="94" bestFit="1" customWidth="1"/>
    <col min="10983" max="10983" width="25" style="94" bestFit="1" customWidth="1"/>
    <col min="10984" max="10984" width="10.140625" style="94" bestFit="1" customWidth="1"/>
    <col min="10985" max="10985" width="13.140625" style="94" bestFit="1" customWidth="1"/>
    <col min="10986" max="10986" width="67.5703125" style="94" bestFit="1" customWidth="1"/>
    <col min="10987" max="10987" width="15.85546875" style="94" bestFit="1" customWidth="1"/>
    <col min="10988" max="11237" width="9.140625" style="94"/>
    <col min="11238" max="11238" width="4.5703125" style="94" bestFit="1" customWidth="1"/>
    <col min="11239" max="11239" width="25" style="94" bestFit="1" customWidth="1"/>
    <col min="11240" max="11240" width="10.140625" style="94" bestFit="1" customWidth="1"/>
    <col min="11241" max="11241" width="13.140625" style="94" bestFit="1" customWidth="1"/>
    <col min="11242" max="11242" width="67.5703125" style="94" bestFit="1" customWidth="1"/>
    <col min="11243" max="11243" width="15.85546875" style="94" bestFit="1" customWidth="1"/>
    <col min="11244" max="11493" width="9.140625" style="94"/>
    <col min="11494" max="11494" width="4.5703125" style="94" bestFit="1" customWidth="1"/>
    <col min="11495" max="11495" width="25" style="94" bestFit="1" customWidth="1"/>
    <col min="11496" max="11496" width="10.140625" style="94" bestFit="1" customWidth="1"/>
    <col min="11497" max="11497" width="13.140625" style="94" bestFit="1" customWidth="1"/>
    <col min="11498" max="11498" width="67.5703125" style="94" bestFit="1" customWidth="1"/>
    <col min="11499" max="11499" width="15.85546875" style="94" bestFit="1" customWidth="1"/>
    <col min="11500" max="11749" width="9.140625" style="94"/>
    <col min="11750" max="11750" width="4.5703125" style="94" bestFit="1" customWidth="1"/>
    <col min="11751" max="11751" width="25" style="94" bestFit="1" customWidth="1"/>
    <col min="11752" max="11752" width="10.140625" style="94" bestFit="1" customWidth="1"/>
    <col min="11753" max="11753" width="13.140625" style="94" bestFit="1" customWidth="1"/>
    <col min="11754" max="11754" width="67.5703125" style="94" bestFit="1" customWidth="1"/>
    <col min="11755" max="11755" width="15.85546875" style="94" bestFit="1" customWidth="1"/>
    <col min="11756" max="12005" width="9.140625" style="94"/>
    <col min="12006" max="12006" width="4.5703125" style="94" bestFit="1" customWidth="1"/>
    <col min="12007" max="12007" width="25" style="94" bestFit="1" customWidth="1"/>
    <col min="12008" max="12008" width="10.140625" style="94" bestFit="1" customWidth="1"/>
    <col min="12009" max="12009" width="13.140625" style="94" bestFit="1" customWidth="1"/>
    <col min="12010" max="12010" width="67.5703125" style="94" bestFit="1" customWidth="1"/>
    <col min="12011" max="12011" width="15.85546875" style="94" bestFit="1" customWidth="1"/>
    <col min="12012" max="12261" width="9.140625" style="94"/>
    <col min="12262" max="12262" width="4.5703125" style="94" bestFit="1" customWidth="1"/>
    <col min="12263" max="12263" width="25" style="94" bestFit="1" customWidth="1"/>
    <col min="12264" max="12264" width="10.140625" style="94" bestFit="1" customWidth="1"/>
    <col min="12265" max="12265" width="13.140625" style="94" bestFit="1" customWidth="1"/>
    <col min="12266" max="12266" width="67.5703125" style="94" bestFit="1" customWidth="1"/>
    <col min="12267" max="12267" width="15.85546875" style="94" bestFit="1" customWidth="1"/>
    <col min="12268" max="12517" width="9.140625" style="94"/>
    <col min="12518" max="12518" width="4.5703125" style="94" bestFit="1" customWidth="1"/>
    <col min="12519" max="12519" width="25" style="94" bestFit="1" customWidth="1"/>
    <col min="12520" max="12520" width="10.140625" style="94" bestFit="1" customWidth="1"/>
    <col min="12521" max="12521" width="13.140625" style="94" bestFit="1" customWidth="1"/>
    <col min="12522" max="12522" width="67.5703125" style="94" bestFit="1" customWidth="1"/>
    <col min="12523" max="12523" width="15.85546875" style="94" bestFit="1" customWidth="1"/>
    <col min="12524" max="12773" width="9.140625" style="94"/>
    <col min="12774" max="12774" width="4.5703125" style="94" bestFit="1" customWidth="1"/>
    <col min="12775" max="12775" width="25" style="94" bestFit="1" customWidth="1"/>
    <col min="12776" max="12776" width="10.140625" style="94" bestFit="1" customWidth="1"/>
    <col min="12777" max="12777" width="13.140625" style="94" bestFit="1" customWidth="1"/>
    <col min="12778" max="12778" width="67.5703125" style="94" bestFit="1" customWidth="1"/>
    <col min="12779" max="12779" width="15.85546875" style="94" bestFit="1" customWidth="1"/>
    <col min="12780" max="13029" width="9.140625" style="94"/>
    <col min="13030" max="13030" width="4.5703125" style="94" bestFit="1" customWidth="1"/>
    <col min="13031" max="13031" width="25" style="94" bestFit="1" customWidth="1"/>
    <col min="13032" max="13032" width="10.140625" style="94" bestFit="1" customWidth="1"/>
    <col min="13033" max="13033" width="13.140625" style="94" bestFit="1" customWidth="1"/>
    <col min="13034" max="13034" width="67.5703125" style="94" bestFit="1" customWidth="1"/>
    <col min="13035" max="13035" width="15.85546875" style="94" bestFit="1" customWidth="1"/>
    <col min="13036" max="13285" width="9.140625" style="94"/>
    <col min="13286" max="13286" width="4.5703125" style="94" bestFit="1" customWidth="1"/>
    <col min="13287" max="13287" width="25" style="94" bestFit="1" customWidth="1"/>
    <col min="13288" max="13288" width="10.140625" style="94" bestFit="1" customWidth="1"/>
    <col min="13289" max="13289" width="13.140625" style="94" bestFit="1" customWidth="1"/>
    <col min="13290" max="13290" width="67.5703125" style="94" bestFit="1" customWidth="1"/>
    <col min="13291" max="13291" width="15.85546875" style="94" bestFit="1" customWidth="1"/>
    <col min="13292" max="13541" width="9.140625" style="94"/>
    <col min="13542" max="13542" width="4.5703125" style="94" bestFit="1" customWidth="1"/>
    <col min="13543" max="13543" width="25" style="94" bestFit="1" customWidth="1"/>
    <col min="13544" max="13544" width="10.140625" style="94" bestFit="1" customWidth="1"/>
    <col min="13545" max="13545" width="13.140625" style="94" bestFit="1" customWidth="1"/>
    <col min="13546" max="13546" width="67.5703125" style="94" bestFit="1" customWidth="1"/>
    <col min="13547" max="13547" width="15.85546875" style="94" bestFit="1" customWidth="1"/>
    <col min="13548" max="13797" width="9.140625" style="94"/>
    <col min="13798" max="13798" width="4.5703125" style="94" bestFit="1" customWidth="1"/>
    <col min="13799" max="13799" width="25" style="94" bestFit="1" customWidth="1"/>
    <col min="13800" max="13800" width="10.140625" style="94" bestFit="1" customWidth="1"/>
    <col min="13801" max="13801" width="13.140625" style="94" bestFit="1" customWidth="1"/>
    <col min="13802" max="13802" width="67.5703125" style="94" bestFit="1" customWidth="1"/>
    <col min="13803" max="13803" width="15.85546875" style="94" bestFit="1" customWidth="1"/>
    <col min="13804" max="14053" width="9.140625" style="94"/>
    <col min="14054" max="14054" width="4.5703125" style="94" bestFit="1" customWidth="1"/>
    <col min="14055" max="14055" width="25" style="94" bestFit="1" customWidth="1"/>
    <col min="14056" max="14056" width="10.140625" style="94" bestFit="1" customWidth="1"/>
    <col min="14057" max="14057" width="13.140625" style="94" bestFit="1" customWidth="1"/>
    <col min="14058" max="14058" width="67.5703125" style="94" bestFit="1" customWidth="1"/>
    <col min="14059" max="14059" width="15.85546875" style="94" bestFit="1" customWidth="1"/>
    <col min="14060" max="14309" width="9.140625" style="94"/>
    <col min="14310" max="14310" width="4.5703125" style="94" bestFit="1" customWidth="1"/>
    <col min="14311" max="14311" width="25" style="94" bestFit="1" customWidth="1"/>
    <col min="14312" max="14312" width="10.140625" style="94" bestFit="1" customWidth="1"/>
    <col min="14313" max="14313" width="13.140625" style="94" bestFit="1" customWidth="1"/>
    <col min="14314" max="14314" width="67.5703125" style="94" bestFit="1" customWidth="1"/>
    <col min="14315" max="14315" width="15.85546875" style="94" bestFit="1" customWidth="1"/>
    <col min="14316" max="14565" width="9.140625" style="94"/>
    <col min="14566" max="14566" width="4.5703125" style="94" bestFit="1" customWidth="1"/>
    <col min="14567" max="14567" width="25" style="94" bestFit="1" customWidth="1"/>
    <col min="14568" max="14568" width="10.140625" style="94" bestFit="1" customWidth="1"/>
    <col min="14569" max="14569" width="13.140625" style="94" bestFit="1" customWidth="1"/>
    <col min="14570" max="14570" width="67.5703125" style="94" bestFit="1" customWidth="1"/>
    <col min="14571" max="14571" width="15.85546875" style="94" bestFit="1" customWidth="1"/>
    <col min="14572" max="14821" width="9.140625" style="94"/>
    <col min="14822" max="14822" width="4.5703125" style="94" bestFit="1" customWidth="1"/>
    <col min="14823" max="14823" width="25" style="94" bestFit="1" customWidth="1"/>
    <col min="14824" max="14824" width="10.140625" style="94" bestFit="1" customWidth="1"/>
    <col min="14825" max="14825" width="13.140625" style="94" bestFit="1" customWidth="1"/>
    <col min="14826" max="14826" width="67.5703125" style="94" bestFit="1" customWidth="1"/>
    <col min="14827" max="14827" width="15.85546875" style="94" bestFit="1" customWidth="1"/>
    <col min="14828" max="15077" width="9.140625" style="94"/>
    <col min="15078" max="15078" width="4.5703125" style="94" bestFit="1" customWidth="1"/>
    <col min="15079" max="15079" width="25" style="94" bestFit="1" customWidth="1"/>
    <col min="15080" max="15080" width="10.140625" style="94" bestFit="1" customWidth="1"/>
    <col min="15081" max="15081" width="13.140625" style="94" bestFit="1" customWidth="1"/>
    <col min="15082" max="15082" width="67.5703125" style="94" bestFit="1" customWidth="1"/>
    <col min="15083" max="15083" width="15.85546875" style="94" bestFit="1" customWidth="1"/>
    <col min="15084" max="15333" width="9.140625" style="94"/>
    <col min="15334" max="15334" width="4.5703125" style="94" bestFit="1" customWidth="1"/>
    <col min="15335" max="15335" width="25" style="94" bestFit="1" customWidth="1"/>
    <col min="15336" max="15336" width="10.140625" style="94" bestFit="1" customWidth="1"/>
    <col min="15337" max="15337" width="13.140625" style="94" bestFit="1" customWidth="1"/>
    <col min="15338" max="15338" width="67.5703125" style="94" bestFit="1" customWidth="1"/>
    <col min="15339" max="15339" width="15.85546875" style="94" bestFit="1" customWidth="1"/>
    <col min="15340" max="15589" width="9.140625" style="94"/>
    <col min="15590" max="15590" width="4.5703125" style="94" bestFit="1" customWidth="1"/>
    <col min="15591" max="15591" width="25" style="94" bestFit="1" customWidth="1"/>
    <col min="15592" max="15592" width="10.140625" style="94" bestFit="1" customWidth="1"/>
    <col min="15593" max="15593" width="13.140625" style="94" bestFit="1" customWidth="1"/>
    <col min="15594" max="15594" width="67.5703125" style="94" bestFit="1" customWidth="1"/>
    <col min="15595" max="15595" width="15.85546875" style="94" bestFit="1" customWidth="1"/>
    <col min="15596" max="15845" width="9.140625" style="94"/>
    <col min="15846" max="15846" width="4.5703125" style="94" bestFit="1" customWidth="1"/>
    <col min="15847" max="15847" width="25" style="94" bestFit="1" customWidth="1"/>
    <col min="15848" max="15848" width="10.140625" style="94" bestFit="1" customWidth="1"/>
    <col min="15849" max="15849" width="13.140625" style="94" bestFit="1" customWidth="1"/>
    <col min="15850" max="15850" width="67.5703125" style="94" bestFit="1" customWidth="1"/>
    <col min="15851" max="15851" width="15.85546875" style="94" bestFit="1" customWidth="1"/>
    <col min="15852" max="16101" width="9.140625" style="94"/>
    <col min="16102" max="16102" width="4.5703125" style="94" bestFit="1" customWidth="1"/>
    <col min="16103" max="16103" width="25" style="94" bestFit="1" customWidth="1"/>
    <col min="16104" max="16104" width="10.140625" style="94" bestFit="1" customWidth="1"/>
    <col min="16105" max="16105" width="13.140625" style="94" bestFit="1" customWidth="1"/>
    <col min="16106" max="16106" width="67.5703125" style="94" bestFit="1" customWidth="1"/>
    <col min="16107" max="16107" width="15.85546875" style="94" bestFit="1" customWidth="1"/>
    <col min="16108" max="16384" width="9.140625" style="94"/>
  </cols>
  <sheetData>
    <row r="1" spans="1:6" x14ac:dyDescent="0.2">
      <c r="A1" s="95" t="s">
        <v>2</v>
      </c>
      <c r="B1" s="95" t="s">
        <v>3</v>
      </c>
      <c r="C1" s="95" t="s">
        <v>4</v>
      </c>
      <c r="D1" s="95" t="s">
        <v>82</v>
      </c>
      <c r="E1" s="95" t="s">
        <v>83</v>
      </c>
      <c r="F1" s="95" t="s">
        <v>52</v>
      </c>
    </row>
    <row r="2" spans="1:6" x14ac:dyDescent="0.2">
      <c r="A2" s="96">
        <v>1</v>
      </c>
      <c r="B2" s="96" t="s">
        <v>93</v>
      </c>
      <c r="C2" s="130">
        <v>34335</v>
      </c>
      <c r="D2" s="96">
        <v>75094004469</v>
      </c>
      <c r="E2" s="96" t="s">
        <v>94</v>
      </c>
      <c r="F2" s="96" t="s">
        <v>110</v>
      </c>
    </row>
    <row r="3" spans="1:6" x14ac:dyDescent="0.2">
      <c r="A3" s="96">
        <v>2</v>
      </c>
      <c r="B3" s="96" t="s">
        <v>95</v>
      </c>
      <c r="C3" s="130">
        <v>33604</v>
      </c>
      <c r="D3" s="96">
        <v>96092000050</v>
      </c>
      <c r="E3" s="96" t="s">
        <v>96</v>
      </c>
      <c r="F3" s="96" t="s">
        <v>110</v>
      </c>
    </row>
    <row r="4" spans="1:6" x14ac:dyDescent="0.2">
      <c r="A4" s="96">
        <v>3</v>
      </c>
      <c r="B4" s="96" t="s">
        <v>97</v>
      </c>
      <c r="C4" s="130">
        <v>37270</v>
      </c>
      <c r="D4" s="96">
        <v>79202018011</v>
      </c>
      <c r="E4" s="96" t="s">
        <v>98</v>
      </c>
      <c r="F4" s="96" t="s">
        <v>109</v>
      </c>
    </row>
    <row r="5" spans="1:6" x14ac:dyDescent="0.2">
      <c r="A5" s="96">
        <v>4</v>
      </c>
      <c r="B5" s="96" t="s">
        <v>99</v>
      </c>
      <c r="C5" s="130">
        <v>36296</v>
      </c>
      <c r="D5" s="96">
        <v>79099031671</v>
      </c>
      <c r="E5" s="96" t="s">
        <v>100</v>
      </c>
      <c r="F5" s="96" t="s">
        <v>110</v>
      </c>
    </row>
    <row r="6" spans="1:6" x14ac:dyDescent="0.2">
      <c r="A6" s="96">
        <v>5</v>
      </c>
      <c r="B6" s="96" t="s">
        <v>101</v>
      </c>
      <c r="C6" s="130">
        <v>33170</v>
      </c>
      <c r="D6" s="96">
        <v>60090015429</v>
      </c>
      <c r="E6" s="96" t="s">
        <v>102</v>
      </c>
      <c r="F6" s="96" t="s">
        <v>110</v>
      </c>
    </row>
    <row r="7" spans="1:6" x14ac:dyDescent="0.2">
      <c r="A7" s="96">
        <v>6</v>
      </c>
      <c r="B7" s="96" t="s">
        <v>103</v>
      </c>
      <c r="C7" s="130">
        <v>36552</v>
      </c>
      <c r="D7" s="96">
        <v>79200016370</v>
      </c>
      <c r="E7" s="96" t="s">
        <v>104</v>
      </c>
      <c r="F7" s="96" t="s">
        <v>111</v>
      </c>
    </row>
    <row r="8" spans="1:6" x14ac:dyDescent="0.2">
      <c r="A8" s="96">
        <v>7</v>
      </c>
      <c r="B8" s="96" t="s">
        <v>105</v>
      </c>
      <c r="C8" s="130">
        <v>30909</v>
      </c>
      <c r="D8" s="96">
        <v>79084005411</v>
      </c>
      <c r="E8" s="96" t="s">
        <v>106</v>
      </c>
      <c r="F8" s="96" t="s">
        <v>110</v>
      </c>
    </row>
    <row r="9" spans="1:6" x14ac:dyDescent="0.2">
      <c r="A9" s="96">
        <v>8</v>
      </c>
      <c r="B9" s="96" t="s">
        <v>107</v>
      </c>
      <c r="C9" s="130">
        <v>37769</v>
      </c>
      <c r="D9" s="96">
        <v>86203008924</v>
      </c>
      <c r="E9" s="96" t="s">
        <v>108</v>
      </c>
      <c r="F9" s="96" t="s">
        <v>112</v>
      </c>
    </row>
    <row r="10" spans="1:6" x14ac:dyDescent="0.2">
      <c r="A10" s="96">
        <v>9</v>
      </c>
      <c r="B10" s="96"/>
      <c r="C10" s="130"/>
      <c r="D10" s="96"/>
      <c r="E10" s="96"/>
      <c r="F10" s="96"/>
    </row>
    <row r="11" spans="1:6" x14ac:dyDescent="0.2">
      <c r="A11" s="96">
        <v>10</v>
      </c>
      <c r="B11" s="96"/>
      <c r="C11" s="130"/>
      <c r="D11" s="96"/>
      <c r="E11" s="96"/>
      <c r="F11" s="96"/>
    </row>
    <row r="12" spans="1:6" x14ac:dyDescent="0.2">
      <c r="A12" s="96">
        <v>11</v>
      </c>
      <c r="B12" s="96"/>
      <c r="C12" s="130"/>
      <c r="D12" s="96"/>
      <c r="E12" s="96"/>
      <c r="F12" s="96"/>
    </row>
    <row r="13" spans="1:6" x14ac:dyDescent="0.2">
      <c r="A13" s="96">
        <v>12</v>
      </c>
      <c r="B13" s="96"/>
      <c r="C13" s="130"/>
      <c r="D13" s="96"/>
      <c r="E13" s="96"/>
      <c r="F13" s="96"/>
    </row>
    <row r="14" spans="1:6" x14ac:dyDescent="0.2">
      <c r="A14" s="96">
        <v>13</v>
      </c>
      <c r="B14" s="96"/>
      <c r="C14" s="130"/>
      <c r="D14" s="96"/>
      <c r="E14" s="96"/>
      <c r="F14" s="96"/>
    </row>
    <row r="15" spans="1:6" x14ac:dyDescent="0.2">
      <c r="A15" s="96">
        <v>14</v>
      </c>
      <c r="B15" s="96"/>
      <c r="C15" s="130"/>
      <c r="D15" s="96"/>
      <c r="E15" s="96"/>
      <c r="F15" s="96"/>
    </row>
    <row r="16" spans="1:6" x14ac:dyDescent="0.2">
      <c r="A16" s="96">
        <v>15</v>
      </c>
      <c r="B16" s="96"/>
      <c r="C16" s="130"/>
      <c r="D16" s="96"/>
      <c r="E16" s="96"/>
      <c r="F16" s="96"/>
    </row>
    <row r="17" spans="1:6" x14ac:dyDescent="0.2">
      <c r="A17" s="96">
        <v>16</v>
      </c>
      <c r="B17" s="96"/>
      <c r="C17" s="130"/>
      <c r="D17" s="96"/>
      <c r="E17" s="96"/>
      <c r="F17" s="96"/>
    </row>
    <row r="18" spans="1:6" x14ac:dyDescent="0.2">
      <c r="A18" s="96">
        <v>17</v>
      </c>
      <c r="B18" s="96"/>
      <c r="C18" s="130"/>
      <c r="D18" s="96"/>
      <c r="E18" s="96"/>
      <c r="F18" s="96"/>
    </row>
    <row r="19" spans="1:6" x14ac:dyDescent="0.2">
      <c r="A19" s="96">
        <v>18</v>
      </c>
      <c r="B19" s="96"/>
      <c r="C19" s="130"/>
      <c r="D19" s="96"/>
      <c r="E19" s="96"/>
      <c r="F19" s="96"/>
    </row>
    <row r="20" spans="1:6" x14ac:dyDescent="0.2">
      <c r="A20" s="96">
        <v>19</v>
      </c>
      <c r="B20" s="96"/>
      <c r="C20" s="130"/>
      <c r="D20" s="96"/>
      <c r="E20" s="96"/>
      <c r="F20" s="96"/>
    </row>
    <row r="21" spans="1:6" x14ac:dyDescent="0.2">
      <c r="A21" s="96">
        <v>20</v>
      </c>
      <c r="B21" s="96"/>
      <c r="C21" s="130"/>
      <c r="D21" s="96"/>
      <c r="E21" s="96"/>
      <c r="F21" s="96"/>
    </row>
    <row r="22" spans="1:6" x14ac:dyDescent="0.2">
      <c r="A22" s="96">
        <v>21</v>
      </c>
      <c r="B22" s="96"/>
      <c r="C22" s="130"/>
      <c r="D22" s="96"/>
      <c r="E22" s="96"/>
      <c r="F22" s="96"/>
    </row>
    <row r="23" spans="1:6" x14ac:dyDescent="0.2">
      <c r="A23" s="96">
        <v>22</v>
      </c>
      <c r="B23" s="96"/>
      <c r="C23" s="130"/>
      <c r="D23" s="96"/>
      <c r="E23" s="96"/>
      <c r="F23" s="96"/>
    </row>
    <row r="24" spans="1:6" x14ac:dyDescent="0.2">
      <c r="A24" s="96">
        <v>23</v>
      </c>
      <c r="B24" s="96"/>
      <c r="C24" s="130"/>
      <c r="D24" s="96"/>
      <c r="E24" s="96"/>
      <c r="F24" s="96"/>
    </row>
    <row r="25" spans="1:6" x14ac:dyDescent="0.2">
      <c r="A25" s="96">
        <v>24</v>
      </c>
      <c r="B25" s="96"/>
      <c r="C25" s="130"/>
      <c r="D25" s="96"/>
      <c r="E25" s="96"/>
      <c r="F25" s="96"/>
    </row>
    <row r="26" spans="1:6" x14ac:dyDescent="0.2">
      <c r="A26" s="96">
        <v>25</v>
      </c>
      <c r="B26" s="96"/>
      <c r="C26" s="130"/>
      <c r="D26" s="96"/>
      <c r="E26" s="96"/>
      <c r="F26" s="96"/>
    </row>
    <row r="27" spans="1:6" x14ac:dyDescent="0.2">
      <c r="A27" s="96">
        <v>26</v>
      </c>
      <c r="B27" s="96"/>
      <c r="C27" s="130"/>
      <c r="D27" s="96"/>
      <c r="E27" s="96"/>
      <c r="F27" s="96"/>
    </row>
    <row r="28" spans="1:6" x14ac:dyDescent="0.2">
      <c r="A28" s="96">
        <v>27</v>
      </c>
      <c r="B28" s="96"/>
      <c r="C28" s="130"/>
      <c r="D28" s="96"/>
      <c r="E28" s="96"/>
      <c r="F28" s="96"/>
    </row>
    <row r="29" spans="1:6" x14ac:dyDescent="0.2">
      <c r="A29" s="96">
        <v>28</v>
      </c>
      <c r="B29" s="96"/>
      <c r="C29" s="130"/>
      <c r="D29" s="96"/>
      <c r="E29" s="96"/>
      <c r="F29" s="96"/>
    </row>
    <row r="30" spans="1:6" x14ac:dyDescent="0.2">
      <c r="A30" s="96">
        <v>29</v>
      </c>
      <c r="B30" s="96"/>
      <c r="C30" s="130"/>
      <c r="D30" s="96"/>
      <c r="E30" s="96"/>
      <c r="F30" s="96"/>
    </row>
    <row r="31" spans="1:6" x14ac:dyDescent="0.2">
      <c r="A31" s="96">
        <v>30</v>
      </c>
      <c r="B31" s="96"/>
      <c r="C31" s="130"/>
      <c r="D31" s="96"/>
      <c r="E31" s="96"/>
      <c r="F31" s="96"/>
    </row>
  </sheetData>
  <autoFilter ref="A1:F11" xr:uid="{3EE5194A-83D3-4AB1-9119-5D4BBCCCC868}"/>
  <sortState xmlns:xlrd2="http://schemas.microsoft.com/office/spreadsheetml/2017/richdata2" ref="B2:F31">
    <sortCondition ref="F2:F31"/>
  </sortState>
  <phoneticPr fontId="30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0417-3370-47E9-B66A-038E02655685}">
  <dimension ref="A1:N34"/>
  <sheetViews>
    <sheetView zoomScale="85" zoomScaleNormal="85" workbookViewId="0">
      <selection activeCell="J3" sqref="J3"/>
    </sheetView>
  </sheetViews>
  <sheetFormatPr defaultRowHeight="15.75" x14ac:dyDescent="0.25"/>
  <cols>
    <col min="1" max="1" width="5.42578125" style="127" customWidth="1"/>
    <col min="2" max="2" width="4.7109375" style="99" customWidth="1"/>
    <col min="3" max="3" width="22" style="99" bestFit="1" customWidth="1"/>
    <col min="4" max="4" width="9.42578125" style="99" customWidth="1"/>
    <col min="5" max="5" width="13.28515625" style="100" customWidth="1"/>
    <col min="6" max="6" width="62.85546875" style="99" bestFit="1" customWidth="1"/>
    <col min="7" max="7" width="17.85546875" style="99" bestFit="1" customWidth="1"/>
    <col min="8" max="8" width="9.7109375" style="101" customWidth="1"/>
    <col min="9" max="9" width="7.140625" style="101" customWidth="1"/>
    <col min="10" max="10" width="19.140625" style="99" bestFit="1" customWidth="1"/>
    <col min="11" max="11" width="9.28515625" style="1" bestFit="1" customWidth="1"/>
    <col min="12" max="12" width="25.140625" style="1" customWidth="1"/>
    <col min="13" max="13" width="14.140625" style="1" customWidth="1"/>
    <col min="14" max="14" width="19.5703125" style="1" customWidth="1"/>
    <col min="15" max="16384" width="9.140625" style="1"/>
  </cols>
  <sheetData>
    <row r="1" spans="1:14" ht="16.5" thickBot="1" x14ac:dyDescent="0.3">
      <c r="A1" s="152" t="s">
        <v>56</v>
      </c>
      <c r="B1" s="152"/>
      <c r="C1" s="99" t="s">
        <v>73</v>
      </c>
      <c r="D1" s="99" t="s">
        <v>51</v>
      </c>
      <c r="E1" s="100" t="s">
        <v>90</v>
      </c>
      <c r="H1" s="101" t="s">
        <v>57</v>
      </c>
      <c r="I1" s="101" t="s">
        <v>85</v>
      </c>
    </row>
    <row r="2" spans="1:14" s="10" customFormat="1" ht="32.25" thickBot="1" x14ac:dyDescent="0.3">
      <c r="A2" s="102" t="s">
        <v>49</v>
      </c>
      <c r="B2" s="103" t="s">
        <v>2</v>
      </c>
      <c r="C2" s="103" t="s">
        <v>3</v>
      </c>
      <c r="D2" s="103" t="s">
        <v>4</v>
      </c>
      <c r="E2" s="104" t="s">
        <v>50</v>
      </c>
      <c r="F2" s="103" t="s">
        <v>5</v>
      </c>
      <c r="G2" s="103"/>
      <c r="H2" s="103" t="s">
        <v>52</v>
      </c>
      <c r="I2" s="103" t="s">
        <v>53</v>
      </c>
      <c r="J2" s="105"/>
      <c r="K2" s="92" t="s">
        <v>2</v>
      </c>
      <c r="L2" s="92" t="s">
        <v>55</v>
      </c>
      <c r="M2" s="92" t="s">
        <v>54</v>
      </c>
      <c r="N2" s="91" t="s">
        <v>84</v>
      </c>
    </row>
    <row r="3" spans="1:14" ht="15" customHeight="1" x14ac:dyDescent="0.25">
      <c r="A3" s="144">
        <v>1</v>
      </c>
      <c r="B3" s="106">
        <v>1</v>
      </c>
      <c r="C3" s="106" t="s">
        <v>93</v>
      </c>
      <c r="D3" s="107">
        <v>34335</v>
      </c>
      <c r="E3" s="108">
        <v>75094004469</v>
      </c>
      <c r="F3" s="106" t="s">
        <v>94</v>
      </c>
      <c r="G3" s="106" t="s">
        <v>110</v>
      </c>
      <c r="H3" s="153" t="s">
        <v>113</v>
      </c>
      <c r="I3" s="153" t="s">
        <v>114</v>
      </c>
      <c r="J3" s="109"/>
      <c r="K3" s="50">
        <v>1</v>
      </c>
      <c r="L3" s="93"/>
      <c r="M3" s="128"/>
      <c r="N3" s="97"/>
    </row>
    <row r="4" spans="1:14" ht="15" customHeight="1" x14ac:dyDescent="0.25">
      <c r="A4" s="145"/>
      <c r="B4" s="110">
        <v>2</v>
      </c>
      <c r="C4" s="110" t="s">
        <v>95</v>
      </c>
      <c r="D4" s="111">
        <v>33604</v>
      </c>
      <c r="E4" s="112">
        <v>96092000050</v>
      </c>
      <c r="F4" s="110" t="s">
        <v>96</v>
      </c>
      <c r="G4" s="110" t="s">
        <v>110</v>
      </c>
      <c r="H4" s="154"/>
      <c r="I4" s="154"/>
      <c r="J4" s="113"/>
      <c r="K4" s="50">
        <v>2</v>
      </c>
      <c r="L4" s="93"/>
      <c r="M4" s="129"/>
      <c r="N4" s="98"/>
    </row>
    <row r="5" spans="1:14" ht="15" customHeight="1" x14ac:dyDescent="0.25">
      <c r="A5" s="145"/>
      <c r="B5" s="110">
        <v>3</v>
      </c>
      <c r="C5" s="110" t="s">
        <v>97</v>
      </c>
      <c r="D5" s="111">
        <v>37270</v>
      </c>
      <c r="E5" s="112">
        <v>79202018011</v>
      </c>
      <c r="F5" s="110" t="s">
        <v>98</v>
      </c>
      <c r="G5" s="110" t="s">
        <v>109</v>
      </c>
      <c r="H5" s="154"/>
      <c r="I5" s="154"/>
      <c r="J5" s="114"/>
      <c r="K5" s="50">
        <v>3</v>
      </c>
      <c r="L5" s="93"/>
      <c r="M5" s="128"/>
      <c r="N5" s="97"/>
    </row>
    <row r="6" spans="1:14" ht="15" customHeight="1" x14ac:dyDescent="0.25">
      <c r="A6" s="145"/>
      <c r="B6" s="110">
        <v>4</v>
      </c>
      <c r="C6" s="110" t="s">
        <v>99</v>
      </c>
      <c r="D6" s="111">
        <v>36296</v>
      </c>
      <c r="E6" s="112">
        <v>79099031671</v>
      </c>
      <c r="F6" s="110" t="s">
        <v>100</v>
      </c>
      <c r="G6" s="110" t="s">
        <v>110</v>
      </c>
      <c r="H6" s="154"/>
      <c r="I6" s="154"/>
      <c r="J6" s="114"/>
      <c r="K6" s="50">
        <v>4</v>
      </c>
      <c r="L6" s="93"/>
      <c r="M6" s="93"/>
      <c r="N6" s="98"/>
    </row>
    <row r="7" spans="1:14" x14ac:dyDescent="0.25">
      <c r="A7" s="146"/>
      <c r="B7" s="110">
        <v>5</v>
      </c>
      <c r="C7" s="115" t="s">
        <v>101</v>
      </c>
      <c r="D7" s="116">
        <v>33170</v>
      </c>
      <c r="E7" s="117">
        <v>60090015429</v>
      </c>
      <c r="F7" s="115" t="s">
        <v>102</v>
      </c>
      <c r="G7" s="115" t="s">
        <v>110</v>
      </c>
      <c r="H7" s="154"/>
      <c r="I7" s="154"/>
      <c r="J7" s="118"/>
    </row>
    <row r="8" spans="1:14" x14ac:dyDescent="0.25">
      <c r="A8" s="146"/>
      <c r="B8" s="110">
        <v>6</v>
      </c>
      <c r="C8" s="115" t="s">
        <v>103</v>
      </c>
      <c r="D8" s="116">
        <v>36552</v>
      </c>
      <c r="E8" s="117">
        <v>79200016370</v>
      </c>
      <c r="F8" s="115" t="s">
        <v>104</v>
      </c>
      <c r="G8" s="115" t="s">
        <v>111</v>
      </c>
      <c r="H8" s="154"/>
      <c r="I8" s="154"/>
      <c r="J8" s="118"/>
    </row>
    <row r="9" spans="1:14" x14ac:dyDescent="0.25">
      <c r="A9" s="146"/>
      <c r="B9" s="110">
        <v>7</v>
      </c>
      <c r="C9" s="115" t="s">
        <v>105</v>
      </c>
      <c r="D9" s="116">
        <v>30909</v>
      </c>
      <c r="E9" s="117">
        <v>79084005411</v>
      </c>
      <c r="F9" s="115" t="s">
        <v>106</v>
      </c>
      <c r="G9" s="115" t="s">
        <v>110</v>
      </c>
      <c r="H9" s="154"/>
      <c r="I9" s="154"/>
      <c r="J9" s="118"/>
    </row>
    <row r="10" spans="1:14" ht="16.5" thickBot="1" x14ac:dyDescent="0.3">
      <c r="A10" s="147"/>
      <c r="B10" s="110">
        <v>8</v>
      </c>
      <c r="C10" s="119" t="s">
        <v>107</v>
      </c>
      <c r="D10" s="120">
        <v>37769</v>
      </c>
      <c r="E10" s="121">
        <v>86203008924</v>
      </c>
      <c r="F10" s="119" t="s">
        <v>108</v>
      </c>
      <c r="G10" s="119" t="s">
        <v>112</v>
      </c>
      <c r="H10" s="155"/>
      <c r="I10" s="155"/>
      <c r="J10" s="122"/>
    </row>
    <row r="11" spans="1:14" x14ac:dyDescent="0.25">
      <c r="A11" s="144">
        <v>2</v>
      </c>
      <c r="B11" s="106">
        <v>1</v>
      </c>
      <c r="C11" s="106"/>
      <c r="D11" s="107"/>
      <c r="E11" s="108"/>
      <c r="F11" s="106"/>
      <c r="G11" s="106"/>
      <c r="H11" s="153"/>
      <c r="I11" s="153"/>
      <c r="J11" s="123"/>
    </row>
    <row r="12" spans="1:14" x14ac:dyDescent="0.25">
      <c r="A12" s="145"/>
      <c r="B12" s="110">
        <v>2</v>
      </c>
      <c r="C12" s="110"/>
      <c r="D12" s="111"/>
      <c r="E12" s="112"/>
      <c r="F12" s="110"/>
      <c r="G12" s="110"/>
      <c r="H12" s="154"/>
      <c r="I12" s="154"/>
      <c r="J12" s="114"/>
    </row>
    <row r="13" spans="1:14" x14ac:dyDescent="0.25">
      <c r="A13" s="145"/>
      <c r="B13" s="110">
        <v>3</v>
      </c>
      <c r="C13" s="110"/>
      <c r="D13" s="111"/>
      <c r="E13" s="112"/>
      <c r="F13" s="110"/>
      <c r="G13" s="110"/>
      <c r="H13" s="154"/>
      <c r="I13" s="154"/>
      <c r="J13" s="114"/>
    </row>
    <row r="14" spans="1:14" x14ac:dyDescent="0.25">
      <c r="A14" s="145"/>
      <c r="B14" s="110">
        <v>4</v>
      </c>
      <c r="C14" s="110"/>
      <c r="D14" s="111"/>
      <c r="E14" s="112"/>
      <c r="F14" s="110"/>
      <c r="G14" s="110"/>
      <c r="H14" s="154"/>
      <c r="I14" s="154"/>
      <c r="J14" s="114"/>
    </row>
    <row r="15" spans="1:14" x14ac:dyDescent="0.25">
      <c r="A15" s="146"/>
      <c r="B15" s="110">
        <v>5</v>
      </c>
      <c r="C15" s="115"/>
      <c r="D15" s="116"/>
      <c r="E15" s="117"/>
      <c r="F15" s="115"/>
      <c r="G15" s="115"/>
      <c r="H15" s="154"/>
      <c r="I15" s="154"/>
      <c r="J15" s="118"/>
    </row>
    <row r="16" spans="1:14" x14ac:dyDescent="0.25">
      <c r="A16" s="146"/>
      <c r="B16" s="110">
        <v>6</v>
      </c>
      <c r="C16" s="115"/>
      <c r="D16" s="116"/>
      <c r="E16" s="117"/>
      <c r="F16" s="115"/>
      <c r="G16" s="115"/>
      <c r="H16" s="154"/>
      <c r="I16" s="154"/>
      <c r="J16" s="118"/>
    </row>
    <row r="17" spans="1:10" x14ac:dyDescent="0.25">
      <c r="A17" s="146"/>
      <c r="B17" s="110">
        <v>7</v>
      </c>
      <c r="C17" s="115"/>
      <c r="D17" s="116"/>
      <c r="E17" s="117"/>
      <c r="F17" s="115"/>
      <c r="G17" s="115"/>
      <c r="H17" s="154"/>
      <c r="I17" s="154"/>
      <c r="J17" s="118"/>
    </row>
    <row r="18" spans="1:10" ht="16.5" thickBot="1" x14ac:dyDescent="0.3">
      <c r="A18" s="147"/>
      <c r="B18" s="110">
        <v>8</v>
      </c>
      <c r="C18" s="119"/>
      <c r="D18" s="120"/>
      <c r="E18" s="121"/>
      <c r="F18" s="119"/>
      <c r="G18" s="119"/>
      <c r="H18" s="155"/>
      <c r="I18" s="155"/>
      <c r="J18" s="122"/>
    </row>
    <row r="19" spans="1:10" x14ac:dyDescent="0.25">
      <c r="A19" s="144">
        <v>3</v>
      </c>
      <c r="B19" s="106">
        <v>1</v>
      </c>
      <c r="C19" s="106"/>
      <c r="D19" s="107"/>
      <c r="E19" s="108"/>
      <c r="F19" s="106"/>
      <c r="G19" s="106"/>
      <c r="H19" s="148"/>
      <c r="I19" s="148"/>
      <c r="J19" s="123"/>
    </row>
    <row r="20" spans="1:10" x14ac:dyDescent="0.25">
      <c r="A20" s="145"/>
      <c r="B20" s="110">
        <v>2</v>
      </c>
      <c r="C20" s="110"/>
      <c r="D20" s="111"/>
      <c r="E20" s="112"/>
      <c r="F20" s="110"/>
      <c r="G20" s="110"/>
      <c r="H20" s="149"/>
      <c r="I20" s="149"/>
      <c r="J20" s="114"/>
    </row>
    <row r="21" spans="1:10" x14ac:dyDescent="0.25">
      <c r="A21" s="145"/>
      <c r="B21" s="110">
        <v>3</v>
      </c>
      <c r="C21" s="110"/>
      <c r="D21" s="111"/>
      <c r="E21" s="112"/>
      <c r="F21" s="110"/>
      <c r="G21" s="110"/>
      <c r="H21" s="149"/>
      <c r="I21" s="149"/>
      <c r="J21" s="114"/>
    </row>
    <row r="22" spans="1:10" x14ac:dyDescent="0.25">
      <c r="A22" s="145"/>
      <c r="B22" s="110">
        <v>4</v>
      </c>
      <c r="C22" s="110"/>
      <c r="D22" s="111"/>
      <c r="E22" s="112"/>
      <c r="F22" s="110"/>
      <c r="G22" s="110"/>
      <c r="H22" s="149"/>
      <c r="I22" s="149"/>
      <c r="J22" s="114"/>
    </row>
    <row r="23" spans="1:10" x14ac:dyDescent="0.25">
      <c r="A23" s="146"/>
      <c r="B23" s="110">
        <v>5</v>
      </c>
      <c r="C23" s="115"/>
      <c r="D23" s="116"/>
      <c r="E23" s="117"/>
      <c r="F23" s="115"/>
      <c r="G23" s="115"/>
      <c r="H23" s="150"/>
      <c r="I23" s="150"/>
      <c r="J23" s="118"/>
    </row>
    <row r="24" spans="1:10" x14ac:dyDescent="0.25">
      <c r="A24" s="146"/>
      <c r="B24" s="110">
        <v>6</v>
      </c>
      <c r="C24" s="115"/>
      <c r="D24" s="116"/>
      <c r="E24" s="117"/>
      <c r="F24" s="115"/>
      <c r="G24" s="115"/>
      <c r="H24" s="150"/>
      <c r="I24" s="150"/>
      <c r="J24" s="118"/>
    </row>
    <row r="25" spans="1:10" x14ac:dyDescent="0.25">
      <c r="A25" s="146"/>
      <c r="B25" s="110">
        <v>7</v>
      </c>
      <c r="C25" s="115"/>
      <c r="D25" s="116"/>
      <c r="E25" s="117"/>
      <c r="F25" s="115"/>
      <c r="G25" s="115"/>
      <c r="H25" s="150"/>
      <c r="I25" s="150"/>
      <c r="J25" s="118"/>
    </row>
    <row r="26" spans="1:10" ht="16.5" thickBot="1" x14ac:dyDescent="0.3">
      <c r="A26" s="147"/>
      <c r="B26" s="110">
        <v>8</v>
      </c>
      <c r="C26" s="119"/>
      <c r="D26" s="120"/>
      <c r="E26" s="121"/>
      <c r="F26" s="119"/>
      <c r="G26" s="119"/>
      <c r="H26" s="151"/>
      <c r="I26" s="151"/>
      <c r="J26" s="122"/>
    </row>
    <row r="27" spans="1:10" x14ac:dyDescent="0.25">
      <c r="A27" s="144">
        <v>4</v>
      </c>
      <c r="B27" s="106">
        <v>1</v>
      </c>
      <c r="C27" s="124"/>
      <c r="D27" s="125"/>
      <c r="E27" s="126"/>
      <c r="F27" s="124"/>
      <c r="G27" s="124"/>
      <c r="H27" s="148"/>
      <c r="I27" s="148"/>
      <c r="J27" s="123"/>
    </row>
    <row r="28" spans="1:10" x14ac:dyDescent="0.25">
      <c r="A28" s="145"/>
      <c r="B28" s="110">
        <v>2</v>
      </c>
      <c r="C28" s="110"/>
      <c r="D28" s="111"/>
      <c r="E28" s="112"/>
      <c r="F28" s="110"/>
      <c r="G28" s="110"/>
      <c r="H28" s="149"/>
      <c r="I28" s="149"/>
      <c r="J28" s="114"/>
    </row>
    <row r="29" spans="1:10" x14ac:dyDescent="0.25">
      <c r="A29" s="145"/>
      <c r="B29" s="110">
        <v>3</v>
      </c>
      <c r="C29" s="110"/>
      <c r="D29" s="111"/>
      <c r="E29" s="112"/>
      <c r="F29" s="110"/>
      <c r="G29" s="110"/>
      <c r="H29" s="149"/>
      <c r="I29" s="149"/>
      <c r="J29" s="114"/>
    </row>
    <row r="30" spans="1:10" x14ac:dyDescent="0.25">
      <c r="A30" s="145"/>
      <c r="B30" s="110">
        <v>4</v>
      </c>
      <c r="C30" s="110"/>
      <c r="D30" s="111"/>
      <c r="E30" s="112"/>
      <c r="F30" s="110"/>
      <c r="G30" s="110"/>
      <c r="H30" s="149"/>
      <c r="I30" s="149"/>
      <c r="J30" s="114"/>
    </row>
    <row r="31" spans="1:10" x14ac:dyDescent="0.25">
      <c r="A31" s="146"/>
      <c r="B31" s="110">
        <v>5</v>
      </c>
      <c r="C31" s="115"/>
      <c r="D31" s="116"/>
      <c r="E31" s="117"/>
      <c r="F31" s="115"/>
      <c r="G31" s="115"/>
      <c r="H31" s="150"/>
      <c r="I31" s="150"/>
      <c r="J31" s="118"/>
    </row>
    <row r="32" spans="1:10" x14ac:dyDescent="0.25">
      <c r="A32" s="146"/>
      <c r="B32" s="110">
        <v>6</v>
      </c>
      <c r="C32" s="115"/>
      <c r="D32" s="116"/>
      <c r="E32" s="117"/>
      <c r="F32" s="115"/>
      <c r="G32" s="115"/>
      <c r="H32" s="150"/>
      <c r="I32" s="150"/>
      <c r="J32" s="118"/>
    </row>
    <row r="33" spans="1:10" x14ac:dyDescent="0.25">
      <c r="A33" s="146"/>
      <c r="B33" s="110">
        <v>7</v>
      </c>
      <c r="C33" s="115"/>
      <c r="D33" s="116"/>
      <c r="E33" s="117"/>
      <c r="F33" s="115"/>
      <c r="G33" s="115"/>
      <c r="H33" s="150"/>
      <c r="I33" s="150"/>
      <c r="J33" s="118"/>
    </row>
    <row r="34" spans="1:10" ht="16.5" thickBot="1" x14ac:dyDescent="0.3">
      <c r="A34" s="147"/>
      <c r="B34" s="110">
        <v>8</v>
      </c>
      <c r="C34" s="119"/>
      <c r="D34" s="120"/>
      <c r="E34" s="121"/>
      <c r="F34" s="119"/>
      <c r="G34" s="119"/>
      <c r="H34" s="151"/>
      <c r="I34" s="151"/>
      <c r="J34" s="122"/>
    </row>
  </sheetData>
  <mergeCells count="13">
    <mergeCell ref="A27:A34"/>
    <mergeCell ref="H27:H34"/>
    <mergeCell ref="I27:I34"/>
    <mergeCell ref="A1:B1"/>
    <mergeCell ref="A11:A18"/>
    <mergeCell ref="A3:A10"/>
    <mergeCell ref="I3:I10"/>
    <mergeCell ref="H3:H10"/>
    <mergeCell ref="H11:H18"/>
    <mergeCell ref="I11:I18"/>
    <mergeCell ref="A19:A26"/>
    <mergeCell ref="H19:H26"/>
    <mergeCell ref="I19:I26"/>
  </mergeCells>
  <pageMargins left="0.17" right="0.17" top="0.17" bottom="0.17" header="0.17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9082-5C5D-4ED6-BF57-4B206F859C25}">
  <dimension ref="A1:O786"/>
  <sheetViews>
    <sheetView showWhiteSpace="0" view="pageLayout" topLeftCell="A4" zoomScale="70" zoomScaleNormal="70" zoomScalePageLayoutView="70" workbookViewId="0">
      <selection activeCell="Q14" sqref="Q14"/>
    </sheetView>
  </sheetViews>
  <sheetFormatPr defaultRowHeight="15" x14ac:dyDescent="0.25"/>
  <cols>
    <col min="1" max="2" width="9.140625" style="22"/>
    <col min="3" max="3" width="10" style="22" customWidth="1"/>
    <col min="4" max="14" width="9.140625" style="22"/>
    <col min="15" max="15" width="5.140625" style="22" customWidth="1"/>
    <col min="16" max="16384" width="9.140625" style="22"/>
  </cols>
  <sheetData>
    <row r="1" spans="1:15" ht="28.7" customHeight="1" thickTop="1" x14ac:dyDescent="0.25">
      <c r="A1" s="53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5"/>
    </row>
    <row r="2" spans="1:15" ht="28.7" customHeight="1" x14ac:dyDescent="0.3">
      <c r="A2" s="56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O2" s="57"/>
    </row>
    <row r="3" spans="1:15" ht="28.7" customHeight="1" x14ac:dyDescent="0.3">
      <c r="A3" s="56"/>
      <c r="C3" s="157" t="s">
        <v>58</v>
      </c>
      <c r="D3" s="157"/>
      <c r="E3" s="157"/>
      <c r="F3" s="157"/>
      <c r="G3" s="157"/>
      <c r="H3" s="157"/>
      <c r="I3" s="157"/>
      <c r="J3" s="157"/>
      <c r="K3" s="157"/>
      <c r="L3" s="157"/>
      <c r="M3" s="157"/>
      <c r="O3" s="57"/>
    </row>
    <row r="4" spans="1:15" ht="28.7" customHeight="1" x14ac:dyDescent="0.25">
      <c r="A4" s="56"/>
      <c r="O4" s="57"/>
    </row>
    <row r="5" spans="1:15" ht="28.7" customHeight="1" x14ac:dyDescent="0.45">
      <c r="A5" s="56"/>
      <c r="E5" s="162" t="s">
        <v>59</v>
      </c>
      <c r="F5" s="162"/>
      <c r="G5" s="162"/>
      <c r="H5" s="162"/>
      <c r="I5" s="162"/>
      <c r="J5" s="162"/>
      <c r="K5" s="162"/>
      <c r="L5" s="52"/>
      <c r="O5" s="57"/>
    </row>
    <row r="6" spans="1:15" ht="28.7" customHeight="1" x14ac:dyDescent="0.45">
      <c r="A6" s="56"/>
      <c r="E6" s="162"/>
      <c r="F6" s="162"/>
      <c r="G6" s="162"/>
      <c r="H6" s="162"/>
      <c r="I6" s="162"/>
      <c r="J6" s="162"/>
      <c r="K6" s="162"/>
      <c r="L6" s="52"/>
      <c r="O6" s="57"/>
    </row>
    <row r="7" spans="1:15" ht="28.7" customHeight="1" x14ac:dyDescent="0.45">
      <c r="A7" s="56"/>
      <c r="E7" s="162"/>
      <c r="F7" s="162"/>
      <c r="G7" s="162"/>
      <c r="H7" s="162"/>
      <c r="I7" s="162"/>
      <c r="J7" s="162"/>
      <c r="K7" s="162"/>
      <c r="L7" s="52"/>
      <c r="O7" s="57"/>
    </row>
    <row r="8" spans="1:15" ht="28.7" customHeight="1" x14ac:dyDescent="0.45">
      <c r="A8" s="56"/>
      <c r="E8" s="52"/>
      <c r="F8" s="52"/>
      <c r="G8" s="52"/>
      <c r="H8" s="52"/>
      <c r="I8" s="52"/>
      <c r="J8" s="52"/>
      <c r="K8" s="52"/>
      <c r="L8" s="52"/>
      <c r="O8" s="57"/>
    </row>
    <row r="9" spans="1:15" ht="28.7" customHeight="1" x14ac:dyDescent="0.25">
      <c r="A9" s="56"/>
      <c r="O9" s="57"/>
    </row>
    <row r="10" spans="1:15" ht="28.7" customHeight="1" x14ac:dyDescent="0.25">
      <c r="A10" s="56"/>
      <c r="C10" s="156" t="s">
        <v>60</v>
      </c>
      <c r="D10" s="156"/>
      <c r="E10" s="156"/>
      <c r="F10" s="163" t="s">
        <v>74</v>
      </c>
      <c r="G10" s="163"/>
      <c r="H10" s="163"/>
      <c r="I10" s="163"/>
      <c r="J10" s="163"/>
      <c r="K10" s="163"/>
      <c r="L10" s="161"/>
      <c r="M10" s="161"/>
      <c r="O10" s="57"/>
    </row>
    <row r="11" spans="1:15" ht="28.7" customHeight="1" x14ac:dyDescent="0.25">
      <c r="A11" s="56"/>
      <c r="C11" s="156" t="s">
        <v>75</v>
      </c>
      <c r="D11" s="156"/>
      <c r="E11" s="156"/>
      <c r="F11" s="163" t="s">
        <v>74</v>
      </c>
      <c r="G11" s="163"/>
      <c r="H11" s="163"/>
      <c r="I11" s="163"/>
      <c r="J11" s="163"/>
      <c r="K11" s="163"/>
      <c r="L11" s="161"/>
      <c r="M11" s="158"/>
      <c r="O11" s="57"/>
    </row>
    <row r="12" spans="1:15" ht="28.7" customHeight="1" x14ac:dyDescent="0.25">
      <c r="A12" s="56"/>
      <c r="C12" s="63"/>
      <c r="D12" s="63"/>
      <c r="E12" s="63"/>
      <c r="F12" s="63"/>
      <c r="O12" s="57"/>
    </row>
    <row r="13" spans="1:15" ht="28.7" customHeight="1" x14ac:dyDescent="0.25">
      <c r="A13" s="56"/>
      <c r="C13" s="159" t="s">
        <v>61</v>
      </c>
      <c r="D13" s="159"/>
      <c r="E13" s="160" t="s">
        <v>76</v>
      </c>
      <c r="F13" s="160"/>
      <c r="G13" s="160"/>
      <c r="H13" s="159" t="s">
        <v>62</v>
      </c>
      <c r="I13" s="159"/>
      <c r="J13" s="70" t="s">
        <v>77</v>
      </c>
      <c r="K13" s="61" t="s">
        <v>63</v>
      </c>
      <c r="L13" s="70" t="s">
        <v>92</v>
      </c>
      <c r="O13" s="57"/>
    </row>
    <row r="14" spans="1:15" ht="28.7" customHeight="1" x14ac:dyDescent="0.25">
      <c r="A14" s="56"/>
      <c r="C14" s="156"/>
      <c r="D14" s="158"/>
      <c r="E14" s="158"/>
      <c r="F14" s="158"/>
      <c r="G14" s="156"/>
      <c r="H14" s="156"/>
      <c r="I14" s="156"/>
      <c r="J14" s="156"/>
      <c r="K14" s="156"/>
      <c r="L14" s="156"/>
      <c r="O14" s="57"/>
    </row>
    <row r="15" spans="1:15" ht="28.7" customHeight="1" x14ac:dyDescent="0.25">
      <c r="A15" s="56"/>
      <c r="C15" s="64"/>
      <c r="D15" s="62"/>
      <c r="E15" s="62"/>
      <c r="F15" s="62"/>
      <c r="G15" s="64"/>
      <c r="H15" s="64"/>
      <c r="I15" s="64"/>
      <c r="J15" s="64"/>
      <c r="K15" s="64"/>
      <c r="L15" s="64"/>
      <c r="O15" s="57"/>
    </row>
    <row r="16" spans="1:15" s="64" customFormat="1" ht="28.7" customHeight="1" x14ac:dyDescent="0.25">
      <c r="A16" s="65"/>
      <c r="O16" s="66"/>
    </row>
    <row r="17" spans="1:15" ht="28.7" customHeight="1" x14ac:dyDescent="0.25">
      <c r="A17" s="56"/>
      <c r="O17" s="57"/>
    </row>
    <row r="18" spans="1:15" ht="28.7" customHeight="1" x14ac:dyDescent="0.3">
      <c r="A18" s="56"/>
      <c r="C18" s="157" t="s">
        <v>86</v>
      </c>
      <c r="D18" s="157"/>
      <c r="E18" s="157"/>
      <c r="F18" s="157"/>
      <c r="G18" s="157"/>
      <c r="H18" s="157"/>
      <c r="I18" s="157"/>
      <c r="J18" s="157"/>
      <c r="K18" s="157"/>
      <c r="L18" s="157"/>
      <c r="O18" s="57"/>
    </row>
    <row r="19" spans="1:15" ht="28.7" customHeight="1" thickBot="1" x14ac:dyDescent="0.3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</row>
    <row r="20" spans="1:15" ht="28.7" customHeight="1" thickTop="1" x14ac:dyDescent="0.25"/>
    <row r="21" spans="1:15" ht="28.7" customHeight="1" x14ac:dyDescent="0.25"/>
    <row r="22" spans="1:15" ht="28.7" customHeight="1" x14ac:dyDescent="0.25"/>
    <row r="23" spans="1:15" ht="28.7" customHeight="1" x14ac:dyDescent="0.25"/>
    <row r="24" spans="1:15" ht="28.7" customHeight="1" x14ac:dyDescent="0.25"/>
    <row r="25" spans="1:15" ht="28.7" customHeight="1" x14ac:dyDescent="0.25"/>
    <row r="26" spans="1:15" ht="28.7" customHeight="1" x14ac:dyDescent="0.25"/>
    <row r="27" spans="1:15" ht="28.7" customHeight="1" x14ac:dyDescent="0.25"/>
    <row r="28" spans="1:15" ht="28.7" customHeight="1" x14ac:dyDescent="0.25"/>
    <row r="29" spans="1:15" ht="28.7" customHeight="1" x14ac:dyDescent="0.25"/>
    <row r="30" spans="1:15" ht="28.7" customHeight="1" x14ac:dyDescent="0.25"/>
    <row r="31" spans="1:15" ht="28.7" customHeight="1" x14ac:dyDescent="0.25"/>
    <row r="32" spans="1:15" ht="28.7" customHeight="1" x14ac:dyDescent="0.25"/>
    <row r="33" ht="28.7" customHeight="1" x14ac:dyDescent="0.25"/>
    <row r="34" ht="28.7" customHeight="1" x14ac:dyDescent="0.25"/>
    <row r="35" ht="28.7" customHeight="1" x14ac:dyDescent="0.25"/>
    <row r="36" ht="28.7" customHeight="1" x14ac:dyDescent="0.25"/>
    <row r="37" ht="28.7" customHeight="1" x14ac:dyDescent="0.25"/>
    <row r="38" ht="28.7" customHeight="1" x14ac:dyDescent="0.25"/>
    <row r="39" ht="28.7" customHeight="1" x14ac:dyDescent="0.25"/>
    <row r="40" ht="28.7" customHeight="1" x14ac:dyDescent="0.25"/>
    <row r="41" ht="28.7" customHeight="1" x14ac:dyDescent="0.25"/>
    <row r="42" ht="28.7" customHeight="1" x14ac:dyDescent="0.25"/>
    <row r="43" ht="28.7" customHeight="1" x14ac:dyDescent="0.25"/>
    <row r="44" ht="28.7" customHeight="1" x14ac:dyDescent="0.25"/>
    <row r="45" ht="28.7" customHeight="1" x14ac:dyDescent="0.25"/>
    <row r="46" ht="28.7" customHeight="1" x14ac:dyDescent="0.25"/>
    <row r="47" ht="28.7" customHeight="1" x14ac:dyDescent="0.25"/>
    <row r="48" ht="28.7" customHeight="1" x14ac:dyDescent="0.25"/>
    <row r="49" ht="28.7" customHeight="1" x14ac:dyDescent="0.25"/>
    <row r="50" ht="28.7" customHeight="1" x14ac:dyDescent="0.25"/>
    <row r="51" ht="28.7" customHeight="1" x14ac:dyDescent="0.25"/>
    <row r="52" ht="28.7" customHeight="1" x14ac:dyDescent="0.25"/>
    <row r="53" ht="28.7" customHeight="1" x14ac:dyDescent="0.25"/>
    <row r="54" ht="28.7" customHeight="1" x14ac:dyDescent="0.25"/>
    <row r="55" ht="28.7" customHeight="1" x14ac:dyDescent="0.25"/>
    <row r="56" ht="28.7" customHeight="1" x14ac:dyDescent="0.25"/>
    <row r="57" ht="28.7" customHeight="1" x14ac:dyDescent="0.25"/>
    <row r="58" ht="28.7" customHeight="1" x14ac:dyDescent="0.25"/>
    <row r="59" ht="28.7" customHeight="1" x14ac:dyDescent="0.25"/>
    <row r="60" ht="28.7" customHeight="1" x14ac:dyDescent="0.25"/>
    <row r="61" ht="28.7" customHeight="1" x14ac:dyDescent="0.25"/>
    <row r="62" ht="28.7" customHeight="1" x14ac:dyDescent="0.25"/>
    <row r="63" ht="28.7" customHeight="1" x14ac:dyDescent="0.25"/>
    <row r="64" ht="28.7" customHeight="1" x14ac:dyDescent="0.25"/>
    <row r="65" ht="28.7" customHeight="1" x14ac:dyDescent="0.25"/>
    <row r="66" ht="28.7" customHeight="1" x14ac:dyDescent="0.25"/>
    <row r="67" ht="28.7" customHeight="1" x14ac:dyDescent="0.25"/>
    <row r="68" ht="28.7" customHeight="1" x14ac:dyDescent="0.25"/>
    <row r="69" ht="28.7" customHeight="1" x14ac:dyDescent="0.25"/>
    <row r="70" ht="28.7" customHeight="1" x14ac:dyDescent="0.25"/>
    <row r="71" ht="28.7" customHeight="1" x14ac:dyDescent="0.25"/>
    <row r="72" ht="28.7" customHeight="1" x14ac:dyDescent="0.25"/>
    <row r="73" ht="28.7" customHeight="1" x14ac:dyDescent="0.25"/>
    <row r="74" ht="28.7" customHeight="1" x14ac:dyDescent="0.25"/>
    <row r="75" ht="28.7" customHeight="1" x14ac:dyDescent="0.25"/>
    <row r="76" ht="28.7" customHeight="1" x14ac:dyDescent="0.25"/>
    <row r="77" ht="28.7" customHeight="1" x14ac:dyDescent="0.25"/>
    <row r="78" ht="28.7" customHeight="1" x14ac:dyDescent="0.25"/>
    <row r="79" ht="28.7" customHeight="1" x14ac:dyDescent="0.25"/>
    <row r="80" ht="28.7" customHeight="1" x14ac:dyDescent="0.25"/>
    <row r="81" ht="28.7" customHeight="1" x14ac:dyDescent="0.25"/>
    <row r="82" ht="28.7" customHeight="1" x14ac:dyDescent="0.25"/>
    <row r="83" ht="28.7" customHeight="1" x14ac:dyDescent="0.25"/>
    <row r="84" ht="28.7" customHeight="1" x14ac:dyDescent="0.25"/>
    <row r="85" ht="28.7" customHeight="1" x14ac:dyDescent="0.25"/>
    <row r="86" ht="28.7" customHeight="1" x14ac:dyDescent="0.25"/>
    <row r="87" ht="28.7" customHeight="1" x14ac:dyDescent="0.25"/>
    <row r="88" ht="28.7" customHeight="1" x14ac:dyDescent="0.25"/>
    <row r="89" ht="28.7" customHeight="1" x14ac:dyDescent="0.25"/>
    <row r="90" ht="28.7" customHeight="1" x14ac:dyDescent="0.25"/>
    <row r="91" ht="28.7" customHeight="1" x14ac:dyDescent="0.25"/>
    <row r="92" ht="28.7" customHeight="1" x14ac:dyDescent="0.25"/>
    <row r="93" ht="28.7" customHeight="1" x14ac:dyDescent="0.25"/>
    <row r="94" ht="28.7" customHeight="1" x14ac:dyDescent="0.25"/>
    <row r="95" ht="28.7" customHeight="1" x14ac:dyDescent="0.25"/>
    <row r="96" ht="28.7" customHeight="1" x14ac:dyDescent="0.25"/>
    <row r="97" ht="28.7" customHeight="1" x14ac:dyDescent="0.25"/>
    <row r="98" ht="28.7" customHeight="1" x14ac:dyDescent="0.25"/>
    <row r="99" ht="28.7" customHeight="1" x14ac:dyDescent="0.25"/>
    <row r="100" ht="28.7" customHeight="1" x14ac:dyDescent="0.25"/>
    <row r="101" ht="28.7" customHeight="1" x14ac:dyDescent="0.25"/>
    <row r="102" ht="28.7" customHeight="1" x14ac:dyDescent="0.25"/>
    <row r="103" ht="28.7" customHeight="1" x14ac:dyDescent="0.25"/>
    <row r="104" ht="28.7" customHeight="1" x14ac:dyDescent="0.25"/>
    <row r="105" ht="28.7" customHeight="1" x14ac:dyDescent="0.25"/>
    <row r="106" ht="28.7" customHeight="1" x14ac:dyDescent="0.25"/>
    <row r="107" ht="28.7" customHeight="1" x14ac:dyDescent="0.25"/>
    <row r="108" ht="28.7" customHeight="1" x14ac:dyDescent="0.25"/>
    <row r="109" ht="28.7" customHeight="1" x14ac:dyDescent="0.25"/>
    <row r="110" ht="28.7" customHeight="1" x14ac:dyDescent="0.25"/>
    <row r="111" ht="28.7" customHeight="1" x14ac:dyDescent="0.25"/>
    <row r="112" ht="28.7" customHeight="1" x14ac:dyDescent="0.25"/>
    <row r="113" ht="28.7" customHeight="1" x14ac:dyDescent="0.25"/>
    <row r="114" ht="28.7" customHeight="1" x14ac:dyDescent="0.25"/>
    <row r="115" ht="28.7" customHeight="1" x14ac:dyDescent="0.25"/>
    <row r="116" ht="28.7" customHeight="1" x14ac:dyDescent="0.25"/>
    <row r="117" ht="28.7" customHeight="1" x14ac:dyDescent="0.25"/>
    <row r="118" ht="28.7" customHeight="1" x14ac:dyDescent="0.25"/>
    <row r="119" ht="28.7" customHeight="1" x14ac:dyDescent="0.25"/>
    <row r="120" ht="28.7" customHeight="1" x14ac:dyDescent="0.25"/>
    <row r="121" ht="28.7" customHeight="1" x14ac:dyDescent="0.25"/>
    <row r="122" ht="28.7" customHeight="1" x14ac:dyDescent="0.25"/>
    <row r="123" ht="28.7" customHeight="1" x14ac:dyDescent="0.25"/>
    <row r="124" ht="28.7" customHeight="1" x14ac:dyDescent="0.25"/>
    <row r="125" ht="28.7" customHeight="1" x14ac:dyDescent="0.25"/>
    <row r="126" ht="28.7" customHeight="1" x14ac:dyDescent="0.25"/>
    <row r="127" ht="28.7" customHeight="1" x14ac:dyDescent="0.25"/>
    <row r="128" ht="28.7" customHeight="1" x14ac:dyDescent="0.25"/>
    <row r="129" ht="28.7" customHeight="1" x14ac:dyDescent="0.25"/>
    <row r="130" ht="28.7" customHeight="1" x14ac:dyDescent="0.25"/>
    <row r="131" ht="28.7" customHeight="1" x14ac:dyDescent="0.25"/>
    <row r="132" ht="28.7" customHeight="1" x14ac:dyDescent="0.25"/>
    <row r="133" ht="28.7" customHeight="1" x14ac:dyDescent="0.25"/>
    <row r="134" ht="28.7" customHeight="1" x14ac:dyDescent="0.25"/>
    <row r="135" ht="28.7" customHeight="1" x14ac:dyDescent="0.25"/>
    <row r="136" ht="28.7" customHeight="1" x14ac:dyDescent="0.25"/>
    <row r="137" ht="28.7" customHeight="1" x14ac:dyDescent="0.25"/>
    <row r="138" ht="28.7" customHeight="1" x14ac:dyDescent="0.25"/>
    <row r="139" ht="28.7" customHeight="1" x14ac:dyDescent="0.25"/>
    <row r="140" ht="28.7" customHeight="1" x14ac:dyDescent="0.25"/>
    <row r="141" ht="28.7" customHeight="1" x14ac:dyDescent="0.25"/>
    <row r="142" ht="28.7" customHeight="1" x14ac:dyDescent="0.25"/>
    <row r="143" ht="28.7" customHeight="1" x14ac:dyDescent="0.25"/>
    <row r="144" ht="28.7" customHeight="1" x14ac:dyDescent="0.25"/>
    <row r="145" ht="28.7" customHeight="1" x14ac:dyDescent="0.25"/>
    <row r="146" ht="28.7" customHeight="1" x14ac:dyDescent="0.25"/>
    <row r="147" ht="28.7" customHeight="1" x14ac:dyDescent="0.25"/>
    <row r="148" ht="28.7" customHeight="1" x14ac:dyDescent="0.25"/>
    <row r="149" ht="28.7" customHeight="1" x14ac:dyDescent="0.25"/>
    <row r="150" ht="28.7" customHeight="1" x14ac:dyDescent="0.25"/>
    <row r="151" ht="28.7" customHeight="1" x14ac:dyDescent="0.25"/>
    <row r="152" ht="28.7" customHeight="1" x14ac:dyDescent="0.25"/>
    <row r="153" ht="28.7" customHeight="1" x14ac:dyDescent="0.25"/>
    <row r="154" ht="28.7" customHeight="1" x14ac:dyDescent="0.25"/>
    <row r="155" ht="28.7" customHeight="1" x14ac:dyDescent="0.25"/>
    <row r="156" ht="28.7" customHeight="1" x14ac:dyDescent="0.25"/>
    <row r="157" ht="28.7" customHeight="1" x14ac:dyDescent="0.25"/>
    <row r="158" ht="28.7" customHeight="1" x14ac:dyDescent="0.25"/>
    <row r="159" ht="28.7" customHeight="1" x14ac:dyDescent="0.25"/>
    <row r="160" ht="28.7" customHeight="1" x14ac:dyDescent="0.25"/>
    <row r="161" ht="28.7" customHeight="1" x14ac:dyDescent="0.25"/>
    <row r="162" ht="28.7" customHeight="1" x14ac:dyDescent="0.25"/>
    <row r="163" ht="28.7" customHeight="1" x14ac:dyDescent="0.25"/>
    <row r="164" ht="28.7" customHeight="1" x14ac:dyDescent="0.25"/>
    <row r="165" ht="28.7" customHeight="1" x14ac:dyDescent="0.25"/>
    <row r="166" ht="28.7" customHeight="1" x14ac:dyDescent="0.25"/>
    <row r="167" ht="28.7" customHeight="1" x14ac:dyDescent="0.25"/>
    <row r="168" ht="28.7" customHeight="1" x14ac:dyDescent="0.25"/>
    <row r="169" ht="28.7" customHeight="1" x14ac:dyDescent="0.25"/>
    <row r="170" ht="28.7" customHeight="1" x14ac:dyDescent="0.25"/>
    <row r="171" ht="28.7" customHeight="1" x14ac:dyDescent="0.25"/>
    <row r="172" ht="28.7" customHeight="1" x14ac:dyDescent="0.25"/>
    <row r="173" ht="28.7" customHeight="1" x14ac:dyDescent="0.25"/>
    <row r="174" ht="28.7" customHeight="1" x14ac:dyDescent="0.25"/>
    <row r="175" ht="28.7" customHeight="1" x14ac:dyDescent="0.25"/>
    <row r="176" ht="28.7" customHeight="1" x14ac:dyDescent="0.25"/>
    <row r="177" ht="28.7" customHeight="1" x14ac:dyDescent="0.25"/>
    <row r="178" ht="28.7" customHeight="1" x14ac:dyDescent="0.25"/>
    <row r="179" ht="28.7" customHeight="1" x14ac:dyDescent="0.25"/>
    <row r="180" ht="28.7" customHeight="1" x14ac:dyDescent="0.25"/>
    <row r="181" ht="28.7" customHeight="1" x14ac:dyDescent="0.25"/>
    <row r="182" ht="28.7" customHeight="1" x14ac:dyDescent="0.25"/>
    <row r="183" ht="28.7" customHeight="1" x14ac:dyDescent="0.25"/>
    <row r="184" ht="28.7" customHeight="1" x14ac:dyDescent="0.25"/>
    <row r="185" ht="28.7" customHeight="1" x14ac:dyDescent="0.25"/>
    <row r="186" ht="28.7" customHeight="1" x14ac:dyDescent="0.25"/>
    <row r="187" ht="28.7" customHeight="1" x14ac:dyDescent="0.25"/>
    <row r="188" ht="28.7" customHeight="1" x14ac:dyDescent="0.25"/>
    <row r="189" ht="28.7" customHeight="1" x14ac:dyDescent="0.25"/>
    <row r="190" ht="28.7" customHeight="1" x14ac:dyDescent="0.25"/>
    <row r="191" ht="28.7" customHeight="1" x14ac:dyDescent="0.25"/>
    <row r="192" ht="28.7" customHeight="1" x14ac:dyDescent="0.25"/>
    <row r="193" ht="28.7" customHeight="1" x14ac:dyDescent="0.25"/>
    <row r="194" ht="28.7" customHeight="1" x14ac:dyDescent="0.25"/>
    <row r="195" ht="28.7" customHeight="1" x14ac:dyDescent="0.25"/>
    <row r="196" ht="28.7" customHeight="1" x14ac:dyDescent="0.25"/>
    <row r="197" ht="28.7" customHeight="1" x14ac:dyDescent="0.25"/>
    <row r="198" ht="28.7" customHeight="1" x14ac:dyDescent="0.25"/>
    <row r="199" ht="28.7" customHeight="1" x14ac:dyDescent="0.25"/>
    <row r="200" ht="28.7" customHeight="1" x14ac:dyDescent="0.25"/>
    <row r="201" ht="28.7" customHeight="1" x14ac:dyDescent="0.25"/>
    <row r="202" ht="28.7" customHeight="1" x14ac:dyDescent="0.25"/>
    <row r="203" ht="28.7" customHeight="1" x14ac:dyDescent="0.25"/>
    <row r="204" ht="28.7" customHeight="1" x14ac:dyDescent="0.25"/>
    <row r="205" ht="28.7" customHeight="1" x14ac:dyDescent="0.25"/>
    <row r="206" ht="28.7" customHeight="1" x14ac:dyDescent="0.25"/>
    <row r="207" ht="28.7" customHeight="1" x14ac:dyDescent="0.25"/>
    <row r="208" ht="28.7" customHeight="1" x14ac:dyDescent="0.25"/>
    <row r="209" ht="28.7" customHeight="1" x14ac:dyDescent="0.25"/>
    <row r="210" ht="28.7" customHeight="1" x14ac:dyDescent="0.25"/>
    <row r="211" ht="28.7" customHeight="1" x14ac:dyDescent="0.25"/>
    <row r="212" ht="28.7" customHeight="1" x14ac:dyDescent="0.25"/>
    <row r="213" ht="28.7" customHeight="1" x14ac:dyDescent="0.25"/>
    <row r="214" ht="28.7" customHeight="1" x14ac:dyDescent="0.25"/>
    <row r="215" ht="28.7" customHeight="1" x14ac:dyDescent="0.25"/>
    <row r="216" ht="28.7" customHeight="1" x14ac:dyDescent="0.25"/>
    <row r="217" ht="28.7" customHeight="1" x14ac:dyDescent="0.25"/>
    <row r="218" ht="28.7" customHeight="1" x14ac:dyDescent="0.25"/>
    <row r="219" ht="28.7" customHeight="1" x14ac:dyDescent="0.25"/>
    <row r="220" ht="28.7" customHeight="1" x14ac:dyDescent="0.25"/>
    <row r="221" ht="28.7" customHeight="1" x14ac:dyDescent="0.25"/>
    <row r="222" ht="28.7" customHeight="1" x14ac:dyDescent="0.25"/>
    <row r="223" ht="28.7" customHeight="1" x14ac:dyDescent="0.25"/>
    <row r="224" ht="28.7" customHeight="1" x14ac:dyDescent="0.25"/>
    <row r="225" ht="28.7" customHeight="1" x14ac:dyDescent="0.25"/>
    <row r="226" ht="28.7" customHeight="1" x14ac:dyDescent="0.25"/>
    <row r="227" ht="28.7" customHeight="1" x14ac:dyDescent="0.25"/>
    <row r="228" ht="28.7" customHeight="1" x14ac:dyDescent="0.25"/>
    <row r="229" ht="28.7" customHeight="1" x14ac:dyDescent="0.25"/>
    <row r="230" ht="28.7" customHeight="1" x14ac:dyDescent="0.25"/>
    <row r="231" ht="28.7" customHeight="1" x14ac:dyDescent="0.25"/>
    <row r="232" ht="28.7" customHeight="1" x14ac:dyDescent="0.25"/>
    <row r="233" ht="28.7" customHeight="1" x14ac:dyDescent="0.25"/>
    <row r="234" ht="28.7" customHeight="1" x14ac:dyDescent="0.25"/>
    <row r="235" ht="28.7" customHeight="1" x14ac:dyDescent="0.25"/>
    <row r="236" ht="28.7" customHeight="1" x14ac:dyDescent="0.25"/>
    <row r="237" ht="28.7" customHeight="1" x14ac:dyDescent="0.25"/>
    <row r="238" ht="28.7" customHeight="1" x14ac:dyDescent="0.25"/>
    <row r="239" ht="28.7" customHeight="1" x14ac:dyDescent="0.25"/>
    <row r="240" ht="28.7" customHeight="1" x14ac:dyDescent="0.25"/>
    <row r="241" ht="28.7" customHeight="1" x14ac:dyDescent="0.25"/>
    <row r="242" ht="28.7" customHeight="1" x14ac:dyDescent="0.25"/>
    <row r="243" ht="28.7" customHeight="1" x14ac:dyDescent="0.25"/>
    <row r="244" ht="28.7" customHeight="1" x14ac:dyDescent="0.25"/>
    <row r="245" ht="28.7" customHeight="1" x14ac:dyDescent="0.25"/>
    <row r="246" ht="28.7" customHeight="1" x14ac:dyDescent="0.25"/>
    <row r="247" ht="28.7" customHeight="1" x14ac:dyDescent="0.25"/>
    <row r="248" ht="28.7" customHeight="1" x14ac:dyDescent="0.25"/>
    <row r="249" ht="28.7" customHeight="1" x14ac:dyDescent="0.25"/>
    <row r="250" ht="28.7" customHeight="1" x14ac:dyDescent="0.25"/>
    <row r="251" ht="28.7" customHeight="1" x14ac:dyDescent="0.25"/>
    <row r="252" ht="28.7" customHeight="1" x14ac:dyDescent="0.25"/>
    <row r="253" ht="28.7" customHeight="1" x14ac:dyDescent="0.25"/>
    <row r="254" ht="28.7" customHeight="1" x14ac:dyDescent="0.25"/>
    <row r="255" ht="28.7" customHeight="1" x14ac:dyDescent="0.25"/>
    <row r="256" ht="28.7" customHeight="1" x14ac:dyDescent="0.25"/>
    <row r="257" ht="28.7" customHeight="1" x14ac:dyDescent="0.25"/>
    <row r="258" ht="28.7" customHeight="1" x14ac:dyDescent="0.25"/>
    <row r="259" ht="28.7" customHeight="1" x14ac:dyDescent="0.25"/>
    <row r="260" ht="28.7" customHeight="1" x14ac:dyDescent="0.25"/>
    <row r="261" ht="28.7" customHeight="1" x14ac:dyDescent="0.25"/>
    <row r="262" ht="28.7" customHeight="1" x14ac:dyDescent="0.25"/>
    <row r="263" ht="28.7" customHeight="1" x14ac:dyDescent="0.25"/>
    <row r="264" ht="28.7" customHeight="1" x14ac:dyDescent="0.25"/>
    <row r="265" ht="28.7" customHeight="1" x14ac:dyDescent="0.25"/>
    <row r="266" ht="28.7" customHeight="1" x14ac:dyDescent="0.25"/>
    <row r="267" ht="28.7" customHeight="1" x14ac:dyDescent="0.25"/>
    <row r="268" ht="28.7" customHeight="1" x14ac:dyDescent="0.25"/>
    <row r="269" ht="28.7" customHeight="1" x14ac:dyDescent="0.25"/>
    <row r="270" ht="28.7" customHeight="1" x14ac:dyDescent="0.25"/>
    <row r="271" ht="28.7" customHeight="1" x14ac:dyDescent="0.25"/>
    <row r="272" ht="28.7" customHeight="1" x14ac:dyDescent="0.25"/>
    <row r="273" ht="28.7" customHeight="1" x14ac:dyDescent="0.25"/>
    <row r="274" ht="28.7" customHeight="1" x14ac:dyDescent="0.25"/>
    <row r="275" ht="28.7" customHeight="1" x14ac:dyDescent="0.25"/>
    <row r="276" ht="28.7" customHeight="1" x14ac:dyDescent="0.25"/>
    <row r="277" ht="28.7" customHeight="1" x14ac:dyDescent="0.25"/>
    <row r="278" ht="28.7" customHeight="1" x14ac:dyDescent="0.25"/>
    <row r="279" ht="28.7" customHeight="1" x14ac:dyDescent="0.25"/>
    <row r="280" ht="28.7" customHeight="1" x14ac:dyDescent="0.25"/>
    <row r="281" ht="28.7" customHeight="1" x14ac:dyDescent="0.25"/>
    <row r="282" ht="28.7" customHeight="1" x14ac:dyDescent="0.25"/>
    <row r="283" ht="28.7" customHeight="1" x14ac:dyDescent="0.25"/>
    <row r="284" ht="28.7" customHeight="1" x14ac:dyDescent="0.25"/>
    <row r="285" ht="28.7" customHeight="1" x14ac:dyDescent="0.25"/>
    <row r="286" ht="28.7" customHeight="1" x14ac:dyDescent="0.25"/>
    <row r="287" ht="28.7" customHeight="1" x14ac:dyDescent="0.25"/>
    <row r="288" ht="28.7" customHeight="1" x14ac:dyDescent="0.25"/>
    <row r="289" ht="28.7" customHeight="1" x14ac:dyDescent="0.25"/>
    <row r="290" ht="28.7" customHeight="1" x14ac:dyDescent="0.25"/>
    <row r="291" ht="28.7" customHeight="1" x14ac:dyDescent="0.25"/>
    <row r="292" ht="28.7" customHeight="1" x14ac:dyDescent="0.25"/>
    <row r="293" ht="28.7" customHeight="1" x14ac:dyDescent="0.25"/>
    <row r="294" ht="28.7" customHeight="1" x14ac:dyDescent="0.25"/>
    <row r="295" ht="28.7" customHeight="1" x14ac:dyDescent="0.25"/>
    <row r="296" ht="28.7" customHeight="1" x14ac:dyDescent="0.25"/>
    <row r="297" ht="28.7" customHeight="1" x14ac:dyDescent="0.25"/>
    <row r="298" ht="28.7" customHeight="1" x14ac:dyDescent="0.25"/>
    <row r="299" ht="28.7" customHeight="1" x14ac:dyDescent="0.25"/>
    <row r="300" ht="28.7" customHeight="1" x14ac:dyDescent="0.25"/>
    <row r="301" ht="28.7" customHeight="1" x14ac:dyDescent="0.25"/>
    <row r="302" ht="28.7" customHeight="1" x14ac:dyDescent="0.25"/>
    <row r="303" ht="28.7" customHeight="1" x14ac:dyDescent="0.25"/>
    <row r="304" ht="28.7" customHeight="1" x14ac:dyDescent="0.25"/>
    <row r="305" ht="28.7" customHeight="1" x14ac:dyDescent="0.25"/>
    <row r="306" ht="28.7" customHeight="1" x14ac:dyDescent="0.25"/>
    <row r="307" ht="28.7" customHeight="1" x14ac:dyDescent="0.25"/>
    <row r="308" ht="28.7" customHeight="1" x14ac:dyDescent="0.25"/>
    <row r="309" ht="28.7" customHeight="1" x14ac:dyDescent="0.25"/>
    <row r="310" ht="28.7" customHeight="1" x14ac:dyDescent="0.25"/>
    <row r="311" ht="28.7" customHeight="1" x14ac:dyDescent="0.25"/>
    <row r="312" ht="28.7" customHeight="1" x14ac:dyDescent="0.25"/>
    <row r="313" ht="28.7" customHeight="1" x14ac:dyDescent="0.25"/>
    <row r="314" ht="28.7" customHeight="1" x14ac:dyDescent="0.25"/>
    <row r="315" ht="28.7" customHeight="1" x14ac:dyDescent="0.25"/>
    <row r="316" ht="28.7" customHeight="1" x14ac:dyDescent="0.25"/>
    <row r="317" ht="28.7" customHeight="1" x14ac:dyDescent="0.25"/>
    <row r="318" ht="28.7" customHeight="1" x14ac:dyDescent="0.25"/>
    <row r="319" ht="28.7" customHeight="1" x14ac:dyDescent="0.25"/>
    <row r="320" ht="28.7" customHeight="1" x14ac:dyDescent="0.25"/>
    <row r="321" ht="28.7" customHeight="1" x14ac:dyDescent="0.25"/>
    <row r="322" ht="28.7" customHeight="1" x14ac:dyDescent="0.25"/>
    <row r="323" ht="28.7" customHeight="1" x14ac:dyDescent="0.25"/>
    <row r="324" ht="28.7" customHeight="1" x14ac:dyDescent="0.25"/>
    <row r="325" ht="28.7" customHeight="1" x14ac:dyDescent="0.25"/>
    <row r="326" ht="28.7" customHeight="1" x14ac:dyDescent="0.25"/>
    <row r="327" ht="28.7" customHeight="1" x14ac:dyDescent="0.25"/>
    <row r="328" ht="28.7" customHeight="1" x14ac:dyDescent="0.25"/>
    <row r="329" ht="28.7" customHeight="1" x14ac:dyDescent="0.25"/>
    <row r="330" ht="28.7" customHeight="1" x14ac:dyDescent="0.25"/>
    <row r="331" ht="28.7" customHeight="1" x14ac:dyDescent="0.25"/>
    <row r="332" ht="28.7" customHeight="1" x14ac:dyDescent="0.25"/>
    <row r="333" ht="28.7" customHeight="1" x14ac:dyDescent="0.25"/>
    <row r="334" ht="28.7" customHeight="1" x14ac:dyDescent="0.25"/>
    <row r="335" ht="28.7" customHeight="1" x14ac:dyDescent="0.25"/>
    <row r="336" ht="28.7" customHeight="1" x14ac:dyDescent="0.25"/>
    <row r="337" ht="28.7" customHeight="1" x14ac:dyDescent="0.25"/>
    <row r="338" ht="28.7" customHeight="1" x14ac:dyDescent="0.25"/>
    <row r="339" ht="28.7" customHeight="1" x14ac:dyDescent="0.25"/>
    <row r="340" ht="28.7" customHeight="1" x14ac:dyDescent="0.25"/>
    <row r="341" ht="28.7" customHeight="1" x14ac:dyDescent="0.25"/>
    <row r="342" ht="28.7" customHeight="1" x14ac:dyDescent="0.25"/>
    <row r="343" ht="28.7" customHeight="1" x14ac:dyDescent="0.25"/>
    <row r="344" ht="28.7" customHeight="1" x14ac:dyDescent="0.25"/>
    <row r="345" ht="28.7" customHeight="1" x14ac:dyDescent="0.25"/>
    <row r="346" ht="28.7" customHeight="1" x14ac:dyDescent="0.25"/>
    <row r="347" ht="28.7" customHeight="1" x14ac:dyDescent="0.25"/>
    <row r="348" ht="28.7" customHeight="1" x14ac:dyDescent="0.25"/>
    <row r="349" ht="28.7" customHeight="1" x14ac:dyDescent="0.25"/>
    <row r="350" ht="28.7" customHeight="1" x14ac:dyDescent="0.25"/>
    <row r="351" ht="28.7" customHeight="1" x14ac:dyDescent="0.25"/>
    <row r="352" ht="28.7" customHeight="1" x14ac:dyDescent="0.25"/>
    <row r="353" ht="28.7" customHeight="1" x14ac:dyDescent="0.25"/>
    <row r="354" ht="28.7" customHeight="1" x14ac:dyDescent="0.25"/>
    <row r="355" ht="28.7" customHeight="1" x14ac:dyDescent="0.25"/>
    <row r="356" ht="28.7" customHeight="1" x14ac:dyDescent="0.25"/>
    <row r="357" ht="28.7" customHeight="1" x14ac:dyDescent="0.25"/>
    <row r="358" ht="28.7" customHeight="1" x14ac:dyDescent="0.25"/>
    <row r="359" ht="28.7" customHeight="1" x14ac:dyDescent="0.25"/>
    <row r="360" ht="28.7" customHeight="1" x14ac:dyDescent="0.25"/>
    <row r="361" ht="28.7" customHeight="1" x14ac:dyDescent="0.25"/>
    <row r="362" ht="28.7" customHeight="1" x14ac:dyDescent="0.25"/>
    <row r="363" ht="28.7" customHeight="1" x14ac:dyDescent="0.25"/>
    <row r="364" ht="28.7" customHeight="1" x14ac:dyDescent="0.25"/>
    <row r="365" ht="28.7" customHeight="1" x14ac:dyDescent="0.25"/>
    <row r="366" ht="28.7" customHeight="1" x14ac:dyDescent="0.25"/>
    <row r="367" ht="28.7" customHeight="1" x14ac:dyDescent="0.25"/>
    <row r="368" ht="28.7" customHeight="1" x14ac:dyDescent="0.25"/>
    <row r="369" ht="28.7" customHeight="1" x14ac:dyDescent="0.25"/>
    <row r="370" ht="28.7" customHeight="1" x14ac:dyDescent="0.25"/>
    <row r="371" ht="28.7" customHeight="1" x14ac:dyDescent="0.25"/>
    <row r="372" ht="28.7" customHeight="1" x14ac:dyDescent="0.25"/>
    <row r="373" ht="28.7" customHeight="1" x14ac:dyDescent="0.25"/>
    <row r="374" ht="28.7" customHeight="1" x14ac:dyDescent="0.25"/>
    <row r="375" ht="28.7" customHeight="1" x14ac:dyDescent="0.25"/>
    <row r="376" ht="28.7" customHeight="1" x14ac:dyDescent="0.25"/>
    <row r="377" ht="28.7" customHeight="1" x14ac:dyDescent="0.25"/>
    <row r="378" ht="28.7" customHeight="1" x14ac:dyDescent="0.25"/>
    <row r="379" ht="28.7" customHeight="1" x14ac:dyDescent="0.25"/>
    <row r="380" ht="28.7" customHeight="1" x14ac:dyDescent="0.25"/>
    <row r="381" ht="28.7" customHeight="1" x14ac:dyDescent="0.25"/>
    <row r="382" ht="28.7" customHeight="1" x14ac:dyDescent="0.25"/>
    <row r="383" ht="28.7" customHeight="1" x14ac:dyDescent="0.25"/>
    <row r="384" ht="28.7" customHeight="1" x14ac:dyDescent="0.25"/>
    <row r="385" ht="28.7" customHeight="1" x14ac:dyDescent="0.25"/>
    <row r="386" ht="28.7" customHeight="1" x14ac:dyDescent="0.25"/>
    <row r="387" ht="28.7" customHeight="1" x14ac:dyDescent="0.25"/>
    <row r="388" ht="28.7" customHeight="1" x14ac:dyDescent="0.25"/>
    <row r="389" ht="28.7" customHeight="1" x14ac:dyDescent="0.25"/>
    <row r="390" ht="28.7" customHeight="1" x14ac:dyDescent="0.25"/>
    <row r="391" ht="28.7" customHeight="1" x14ac:dyDescent="0.25"/>
    <row r="392" ht="28.7" customHeight="1" x14ac:dyDescent="0.25"/>
    <row r="393" ht="28.7" customHeight="1" x14ac:dyDescent="0.25"/>
    <row r="394" ht="28.7" customHeight="1" x14ac:dyDescent="0.25"/>
    <row r="395" ht="28.7" customHeight="1" x14ac:dyDescent="0.25"/>
    <row r="396" ht="28.7" customHeight="1" x14ac:dyDescent="0.25"/>
    <row r="397" ht="28.7" customHeight="1" x14ac:dyDescent="0.25"/>
    <row r="398" ht="28.7" customHeight="1" x14ac:dyDescent="0.25"/>
    <row r="399" ht="28.7" customHeight="1" x14ac:dyDescent="0.25"/>
    <row r="400" ht="28.7" customHeight="1" x14ac:dyDescent="0.25"/>
    <row r="401" ht="28.7" customHeight="1" x14ac:dyDescent="0.25"/>
    <row r="402" ht="28.7" customHeight="1" x14ac:dyDescent="0.25"/>
    <row r="403" ht="28.7" customHeight="1" x14ac:dyDescent="0.25"/>
    <row r="404" ht="28.7" customHeight="1" x14ac:dyDescent="0.25"/>
    <row r="405" ht="28.7" customHeight="1" x14ac:dyDescent="0.25"/>
    <row r="406" ht="28.7" customHeight="1" x14ac:dyDescent="0.25"/>
    <row r="407" ht="28.7" customHeight="1" x14ac:dyDescent="0.25"/>
    <row r="408" ht="28.7" customHeight="1" x14ac:dyDescent="0.25"/>
    <row r="409" ht="28.7" customHeight="1" x14ac:dyDescent="0.25"/>
    <row r="410" ht="28.7" customHeight="1" x14ac:dyDescent="0.25"/>
    <row r="411" ht="28.7" customHeight="1" x14ac:dyDescent="0.25"/>
    <row r="412" ht="28.7" customHeight="1" x14ac:dyDescent="0.25"/>
    <row r="413" ht="28.7" customHeight="1" x14ac:dyDescent="0.25"/>
    <row r="414" ht="28.7" customHeight="1" x14ac:dyDescent="0.25"/>
    <row r="415" ht="28.7" customHeight="1" x14ac:dyDescent="0.25"/>
    <row r="416" ht="28.7" customHeight="1" x14ac:dyDescent="0.25"/>
    <row r="417" ht="28.7" customHeight="1" x14ac:dyDescent="0.25"/>
    <row r="418" ht="28.7" customHeight="1" x14ac:dyDescent="0.25"/>
    <row r="419" ht="28.7" customHeight="1" x14ac:dyDescent="0.25"/>
    <row r="420" ht="28.7" customHeight="1" x14ac:dyDescent="0.25"/>
    <row r="421" ht="28.7" customHeight="1" x14ac:dyDescent="0.25"/>
    <row r="422" ht="28.7" customHeight="1" x14ac:dyDescent="0.25"/>
    <row r="423" ht="28.7" customHeight="1" x14ac:dyDescent="0.25"/>
    <row r="424" ht="28.7" customHeight="1" x14ac:dyDescent="0.25"/>
    <row r="425" ht="28.7" customHeight="1" x14ac:dyDescent="0.25"/>
    <row r="426" ht="28.7" customHeight="1" x14ac:dyDescent="0.25"/>
    <row r="427" ht="28.7" customHeight="1" x14ac:dyDescent="0.25"/>
    <row r="428" ht="28.7" customHeight="1" x14ac:dyDescent="0.25"/>
    <row r="429" ht="28.7" customHeight="1" x14ac:dyDescent="0.25"/>
    <row r="430" ht="28.7" customHeight="1" x14ac:dyDescent="0.25"/>
    <row r="431" ht="28.7" customHeight="1" x14ac:dyDescent="0.25"/>
    <row r="432" ht="28.7" customHeight="1" x14ac:dyDescent="0.25"/>
    <row r="433" ht="28.7" customHeight="1" x14ac:dyDescent="0.25"/>
    <row r="434" ht="28.7" customHeight="1" x14ac:dyDescent="0.25"/>
    <row r="435" ht="28.7" customHeight="1" x14ac:dyDescent="0.25"/>
    <row r="436" ht="28.7" customHeight="1" x14ac:dyDescent="0.25"/>
    <row r="437" ht="28.7" customHeight="1" x14ac:dyDescent="0.25"/>
    <row r="438" ht="28.7" customHeight="1" x14ac:dyDescent="0.25"/>
    <row r="439" ht="28.7" customHeight="1" x14ac:dyDescent="0.25"/>
    <row r="440" ht="28.7" customHeight="1" x14ac:dyDescent="0.25"/>
    <row r="441" ht="28.7" customHeight="1" x14ac:dyDescent="0.25"/>
    <row r="442" ht="28.7" customHeight="1" x14ac:dyDescent="0.25"/>
    <row r="443" ht="28.7" customHeight="1" x14ac:dyDescent="0.25"/>
    <row r="444" ht="28.7" customHeight="1" x14ac:dyDescent="0.25"/>
    <row r="445" ht="28.7" customHeight="1" x14ac:dyDescent="0.25"/>
    <row r="446" ht="28.7" customHeight="1" x14ac:dyDescent="0.25"/>
    <row r="447" ht="28.7" customHeight="1" x14ac:dyDescent="0.25"/>
    <row r="448" ht="28.7" customHeight="1" x14ac:dyDescent="0.25"/>
    <row r="449" ht="28.7" customHeight="1" x14ac:dyDescent="0.25"/>
    <row r="450" ht="28.7" customHeight="1" x14ac:dyDescent="0.25"/>
    <row r="451" ht="28.7" customHeight="1" x14ac:dyDescent="0.25"/>
    <row r="452" ht="28.7" customHeight="1" x14ac:dyDescent="0.25"/>
    <row r="453" ht="28.7" customHeight="1" x14ac:dyDescent="0.25"/>
    <row r="454" ht="28.7" customHeight="1" x14ac:dyDescent="0.25"/>
    <row r="455" ht="28.7" customHeight="1" x14ac:dyDescent="0.25"/>
    <row r="456" ht="28.7" customHeight="1" x14ac:dyDescent="0.25"/>
    <row r="457" ht="28.7" customHeight="1" x14ac:dyDescent="0.25"/>
    <row r="458" ht="28.7" customHeight="1" x14ac:dyDescent="0.25"/>
    <row r="459" ht="28.7" customHeight="1" x14ac:dyDescent="0.25"/>
    <row r="460" ht="28.7" customHeight="1" x14ac:dyDescent="0.25"/>
    <row r="461" ht="28.7" customHeight="1" x14ac:dyDescent="0.25"/>
    <row r="462" ht="28.7" customHeight="1" x14ac:dyDescent="0.25"/>
    <row r="463" ht="28.7" customHeight="1" x14ac:dyDescent="0.25"/>
    <row r="464" ht="28.7" customHeight="1" x14ac:dyDescent="0.25"/>
    <row r="465" ht="28.7" customHeight="1" x14ac:dyDescent="0.25"/>
    <row r="466" ht="28.7" customHeight="1" x14ac:dyDescent="0.25"/>
    <row r="467" ht="28.7" customHeight="1" x14ac:dyDescent="0.25"/>
    <row r="468" ht="28.7" customHeight="1" x14ac:dyDescent="0.25"/>
    <row r="469" ht="28.7" customHeight="1" x14ac:dyDescent="0.25"/>
    <row r="470" ht="28.7" customHeight="1" x14ac:dyDescent="0.25"/>
    <row r="471" ht="28.7" customHeight="1" x14ac:dyDescent="0.25"/>
    <row r="472" ht="28.7" customHeight="1" x14ac:dyDescent="0.25"/>
    <row r="473" ht="28.7" customHeight="1" x14ac:dyDescent="0.25"/>
    <row r="474" ht="28.7" customHeight="1" x14ac:dyDescent="0.25"/>
    <row r="475" ht="28.7" customHeight="1" x14ac:dyDescent="0.25"/>
    <row r="476" ht="28.7" customHeight="1" x14ac:dyDescent="0.25"/>
    <row r="477" ht="28.7" customHeight="1" x14ac:dyDescent="0.25"/>
    <row r="478" ht="28.7" customHeight="1" x14ac:dyDescent="0.25"/>
    <row r="479" ht="28.7" customHeight="1" x14ac:dyDescent="0.25"/>
    <row r="480" ht="28.7" customHeight="1" x14ac:dyDescent="0.25"/>
    <row r="481" ht="28.7" customHeight="1" x14ac:dyDescent="0.25"/>
    <row r="482" ht="28.7" customHeight="1" x14ac:dyDescent="0.25"/>
    <row r="483" ht="28.7" customHeight="1" x14ac:dyDescent="0.25"/>
    <row r="484" ht="28.7" customHeight="1" x14ac:dyDescent="0.25"/>
    <row r="485" ht="28.7" customHeight="1" x14ac:dyDescent="0.25"/>
    <row r="486" ht="28.7" customHeight="1" x14ac:dyDescent="0.25"/>
    <row r="487" ht="28.7" customHeight="1" x14ac:dyDescent="0.25"/>
    <row r="488" ht="28.7" customHeight="1" x14ac:dyDescent="0.25"/>
    <row r="489" ht="28.7" customHeight="1" x14ac:dyDescent="0.25"/>
    <row r="490" ht="28.7" customHeight="1" x14ac:dyDescent="0.25"/>
    <row r="491" ht="28.7" customHeight="1" x14ac:dyDescent="0.25"/>
    <row r="492" ht="28.7" customHeight="1" x14ac:dyDescent="0.25"/>
    <row r="493" ht="28.7" customHeight="1" x14ac:dyDescent="0.25"/>
    <row r="494" ht="28.7" customHeight="1" x14ac:dyDescent="0.25"/>
    <row r="495" ht="28.7" customHeight="1" x14ac:dyDescent="0.25"/>
    <row r="496" ht="28.7" customHeight="1" x14ac:dyDescent="0.25"/>
    <row r="497" ht="28.7" customHeight="1" x14ac:dyDescent="0.25"/>
    <row r="498" ht="28.7" customHeight="1" x14ac:dyDescent="0.25"/>
    <row r="499" ht="28.7" customHeight="1" x14ac:dyDescent="0.25"/>
    <row r="500" ht="28.7" customHeight="1" x14ac:dyDescent="0.25"/>
    <row r="501" ht="28.7" customHeight="1" x14ac:dyDescent="0.25"/>
    <row r="502" ht="28.7" customHeight="1" x14ac:dyDescent="0.25"/>
    <row r="503" ht="28.7" customHeight="1" x14ac:dyDescent="0.25"/>
    <row r="504" ht="28.7" customHeight="1" x14ac:dyDescent="0.25"/>
    <row r="505" ht="28.7" customHeight="1" x14ac:dyDescent="0.25"/>
    <row r="506" ht="28.7" customHeight="1" x14ac:dyDescent="0.25"/>
    <row r="507" ht="28.7" customHeight="1" x14ac:dyDescent="0.25"/>
    <row r="508" ht="28.7" customHeight="1" x14ac:dyDescent="0.25"/>
    <row r="509" ht="28.7" customHeight="1" x14ac:dyDescent="0.25"/>
    <row r="510" ht="28.7" customHeight="1" x14ac:dyDescent="0.25"/>
    <row r="511" ht="28.7" customHeight="1" x14ac:dyDescent="0.25"/>
    <row r="512" ht="28.7" customHeight="1" x14ac:dyDescent="0.25"/>
    <row r="513" ht="28.7" customHeight="1" x14ac:dyDescent="0.25"/>
    <row r="514" ht="28.7" customHeight="1" x14ac:dyDescent="0.25"/>
    <row r="515" ht="28.7" customHeight="1" x14ac:dyDescent="0.25"/>
    <row r="516" ht="28.7" customHeight="1" x14ac:dyDescent="0.25"/>
    <row r="517" ht="28.7" customHeight="1" x14ac:dyDescent="0.25"/>
    <row r="518" ht="28.7" customHeight="1" x14ac:dyDescent="0.25"/>
    <row r="519" ht="28.7" customHeight="1" x14ac:dyDescent="0.25"/>
    <row r="520" ht="28.7" customHeight="1" x14ac:dyDescent="0.25"/>
    <row r="521" ht="28.7" customHeight="1" x14ac:dyDescent="0.25"/>
    <row r="522" ht="28.7" customHeight="1" x14ac:dyDescent="0.25"/>
    <row r="523" ht="28.7" customHeight="1" x14ac:dyDescent="0.25"/>
    <row r="524" ht="28.7" customHeight="1" x14ac:dyDescent="0.25"/>
    <row r="525" ht="28.7" customHeight="1" x14ac:dyDescent="0.25"/>
    <row r="526" ht="28.7" customHeight="1" x14ac:dyDescent="0.25"/>
    <row r="527" ht="28.7" customHeight="1" x14ac:dyDescent="0.25"/>
    <row r="528" ht="28.7" customHeight="1" x14ac:dyDescent="0.25"/>
    <row r="529" ht="28.7" customHeight="1" x14ac:dyDescent="0.25"/>
    <row r="530" ht="28.7" customHeight="1" x14ac:dyDescent="0.25"/>
    <row r="531" ht="28.7" customHeight="1" x14ac:dyDescent="0.25"/>
    <row r="532" ht="28.7" customHeight="1" x14ac:dyDescent="0.25"/>
    <row r="533" ht="28.7" customHeight="1" x14ac:dyDescent="0.25"/>
    <row r="534" ht="28.7" customHeight="1" x14ac:dyDescent="0.25"/>
    <row r="535" ht="28.7" customHeight="1" x14ac:dyDescent="0.25"/>
    <row r="536" ht="28.7" customHeight="1" x14ac:dyDescent="0.25"/>
    <row r="537" ht="28.7" customHeight="1" x14ac:dyDescent="0.25"/>
    <row r="538" ht="28.7" customHeight="1" x14ac:dyDescent="0.25"/>
    <row r="539" ht="28.7" customHeight="1" x14ac:dyDescent="0.25"/>
    <row r="540" ht="28.7" customHeight="1" x14ac:dyDescent="0.25"/>
    <row r="541" ht="28.7" customHeight="1" x14ac:dyDescent="0.25"/>
    <row r="542" ht="28.7" customHeight="1" x14ac:dyDescent="0.25"/>
    <row r="543" ht="28.7" customHeight="1" x14ac:dyDescent="0.25"/>
    <row r="544" ht="28.7" customHeight="1" x14ac:dyDescent="0.25"/>
    <row r="545" ht="28.7" customHeight="1" x14ac:dyDescent="0.25"/>
    <row r="546" ht="28.7" customHeight="1" x14ac:dyDescent="0.25"/>
    <row r="547" ht="28.7" customHeight="1" x14ac:dyDescent="0.25"/>
    <row r="548" ht="28.7" customHeight="1" x14ac:dyDescent="0.25"/>
    <row r="549" ht="28.7" customHeight="1" x14ac:dyDescent="0.25"/>
    <row r="550" ht="28.7" customHeight="1" x14ac:dyDescent="0.25"/>
    <row r="551" ht="28.7" customHeight="1" x14ac:dyDescent="0.25"/>
    <row r="552" ht="28.7" customHeight="1" x14ac:dyDescent="0.25"/>
    <row r="553" ht="28.7" customHeight="1" x14ac:dyDescent="0.25"/>
    <row r="554" ht="28.7" customHeight="1" x14ac:dyDescent="0.25"/>
    <row r="555" ht="28.7" customHeight="1" x14ac:dyDescent="0.25"/>
    <row r="556" ht="28.7" customHeight="1" x14ac:dyDescent="0.25"/>
    <row r="557" ht="28.7" customHeight="1" x14ac:dyDescent="0.25"/>
    <row r="558" ht="28.7" customHeight="1" x14ac:dyDescent="0.25"/>
    <row r="559" ht="28.7" customHeight="1" x14ac:dyDescent="0.25"/>
    <row r="560" ht="28.7" customHeight="1" x14ac:dyDescent="0.25"/>
    <row r="561" ht="28.7" customHeight="1" x14ac:dyDescent="0.25"/>
    <row r="562" ht="28.7" customHeight="1" x14ac:dyDescent="0.25"/>
    <row r="563" ht="28.7" customHeight="1" x14ac:dyDescent="0.25"/>
    <row r="564" ht="28.7" customHeight="1" x14ac:dyDescent="0.25"/>
    <row r="565" ht="28.7" customHeight="1" x14ac:dyDescent="0.25"/>
    <row r="566" ht="28.7" customHeight="1" x14ac:dyDescent="0.25"/>
    <row r="567" ht="28.7" customHeight="1" x14ac:dyDescent="0.25"/>
    <row r="568" ht="28.7" customHeight="1" x14ac:dyDescent="0.25"/>
    <row r="569" ht="28.7" customHeight="1" x14ac:dyDescent="0.25"/>
    <row r="570" ht="28.7" customHeight="1" x14ac:dyDescent="0.25"/>
    <row r="571" ht="28.7" customHeight="1" x14ac:dyDescent="0.25"/>
    <row r="572" ht="28.7" customHeight="1" x14ac:dyDescent="0.25"/>
    <row r="573" ht="28.7" customHeight="1" x14ac:dyDescent="0.25"/>
    <row r="574" ht="28.7" customHeight="1" x14ac:dyDescent="0.25"/>
    <row r="575" ht="28.7" customHeight="1" x14ac:dyDescent="0.25"/>
    <row r="576" ht="28.7" customHeight="1" x14ac:dyDescent="0.25"/>
    <row r="577" ht="28.7" customHeight="1" x14ac:dyDescent="0.25"/>
    <row r="578" ht="28.7" customHeight="1" x14ac:dyDescent="0.25"/>
    <row r="579" ht="28.7" customHeight="1" x14ac:dyDescent="0.25"/>
    <row r="580" ht="28.7" customHeight="1" x14ac:dyDescent="0.25"/>
    <row r="581" ht="28.7" customHeight="1" x14ac:dyDescent="0.25"/>
    <row r="582" ht="28.7" customHeight="1" x14ac:dyDescent="0.25"/>
    <row r="583" ht="28.7" customHeight="1" x14ac:dyDescent="0.25"/>
    <row r="584" ht="28.7" customHeight="1" x14ac:dyDescent="0.25"/>
    <row r="585" ht="28.7" customHeight="1" x14ac:dyDescent="0.25"/>
    <row r="586" ht="28.7" customHeight="1" x14ac:dyDescent="0.25"/>
    <row r="587" ht="28.7" customHeight="1" x14ac:dyDescent="0.25"/>
    <row r="588" ht="28.7" customHeight="1" x14ac:dyDescent="0.25"/>
    <row r="589" ht="28.7" customHeight="1" x14ac:dyDescent="0.25"/>
    <row r="590" ht="28.7" customHeight="1" x14ac:dyDescent="0.25"/>
    <row r="591" ht="28.7" customHeight="1" x14ac:dyDescent="0.25"/>
    <row r="592" ht="28.7" customHeight="1" x14ac:dyDescent="0.25"/>
    <row r="593" ht="28.7" customHeight="1" x14ac:dyDescent="0.25"/>
    <row r="594" ht="28.7" customHeight="1" x14ac:dyDescent="0.25"/>
    <row r="595" ht="28.7" customHeight="1" x14ac:dyDescent="0.25"/>
    <row r="596" ht="28.7" customHeight="1" x14ac:dyDescent="0.25"/>
    <row r="597" ht="28.7" customHeight="1" x14ac:dyDescent="0.25"/>
    <row r="598" ht="28.7" customHeight="1" x14ac:dyDescent="0.25"/>
    <row r="599" ht="28.7" customHeight="1" x14ac:dyDescent="0.25"/>
    <row r="600" ht="28.7" customHeight="1" x14ac:dyDescent="0.25"/>
    <row r="601" ht="28.7" customHeight="1" x14ac:dyDescent="0.25"/>
    <row r="602" ht="28.7" customHeight="1" x14ac:dyDescent="0.25"/>
    <row r="603" ht="28.7" customHeight="1" x14ac:dyDescent="0.25"/>
    <row r="604" ht="28.7" customHeight="1" x14ac:dyDescent="0.25"/>
    <row r="605" ht="28.7" customHeight="1" x14ac:dyDescent="0.25"/>
    <row r="606" ht="28.7" customHeight="1" x14ac:dyDescent="0.25"/>
    <row r="607" ht="28.7" customHeight="1" x14ac:dyDescent="0.25"/>
    <row r="608" ht="28.7" customHeight="1" x14ac:dyDescent="0.25"/>
    <row r="609" ht="28.7" customHeight="1" x14ac:dyDescent="0.25"/>
    <row r="610" ht="28.7" customHeight="1" x14ac:dyDescent="0.25"/>
    <row r="611" ht="28.7" customHeight="1" x14ac:dyDescent="0.25"/>
    <row r="612" ht="28.7" customHeight="1" x14ac:dyDescent="0.25"/>
    <row r="613" ht="28.7" customHeight="1" x14ac:dyDescent="0.25"/>
    <row r="614" ht="28.7" customHeight="1" x14ac:dyDescent="0.25"/>
    <row r="615" ht="28.7" customHeight="1" x14ac:dyDescent="0.25"/>
    <row r="616" ht="28.7" customHeight="1" x14ac:dyDescent="0.25"/>
    <row r="617" ht="28.7" customHeight="1" x14ac:dyDescent="0.25"/>
    <row r="618" ht="28.7" customHeight="1" x14ac:dyDescent="0.25"/>
    <row r="619" ht="28.7" customHeight="1" x14ac:dyDescent="0.25"/>
    <row r="620" ht="28.7" customHeight="1" x14ac:dyDescent="0.25"/>
    <row r="621" ht="28.7" customHeight="1" x14ac:dyDescent="0.25"/>
    <row r="622" ht="28.7" customHeight="1" x14ac:dyDescent="0.25"/>
    <row r="623" ht="28.7" customHeight="1" x14ac:dyDescent="0.25"/>
    <row r="624" ht="28.7" customHeight="1" x14ac:dyDescent="0.25"/>
    <row r="625" ht="28.7" customHeight="1" x14ac:dyDescent="0.25"/>
    <row r="626" ht="28.7" customHeight="1" x14ac:dyDescent="0.25"/>
    <row r="627" ht="28.7" customHeight="1" x14ac:dyDescent="0.25"/>
    <row r="628" ht="28.7" customHeight="1" x14ac:dyDescent="0.25"/>
    <row r="629" ht="28.7" customHeight="1" x14ac:dyDescent="0.25"/>
    <row r="630" ht="28.7" customHeight="1" x14ac:dyDescent="0.25"/>
    <row r="631" ht="28.7" customHeight="1" x14ac:dyDescent="0.25"/>
    <row r="632" ht="28.7" customHeight="1" x14ac:dyDescent="0.25"/>
    <row r="633" ht="28.7" customHeight="1" x14ac:dyDescent="0.25"/>
    <row r="634" ht="28.7" customHeight="1" x14ac:dyDescent="0.25"/>
    <row r="635" ht="28.7" customHeight="1" x14ac:dyDescent="0.25"/>
    <row r="636" ht="28.7" customHeight="1" x14ac:dyDescent="0.25"/>
    <row r="637" ht="28.7" customHeight="1" x14ac:dyDescent="0.25"/>
    <row r="638" ht="28.7" customHeight="1" x14ac:dyDescent="0.25"/>
    <row r="639" ht="28.7" customHeight="1" x14ac:dyDescent="0.25"/>
    <row r="640" ht="28.7" customHeight="1" x14ac:dyDescent="0.25"/>
    <row r="641" ht="28.7" customHeight="1" x14ac:dyDescent="0.25"/>
    <row r="642" ht="28.7" customHeight="1" x14ac:dyDescent="0.25"/>
    <row r="643" ht="28.7" customHeight="1" x14ac:dyDescent="0.25"/>
    <row r="644" ht="28.7" customHeight="1" x14ac:dyDescent="0.25"/>
    <row r="645" ht="28.7" customHeight="1" x14ac:dyDescent="0.25"/>
    <row r="646" ht="28.7" customHeight="1" x14ac:dyDescent="0.25"/>
    <row r="647" ht="28.7" customHeight="1" x14ac:dyDescent="0.25"/>
    <row r="648" ht="28.7" customHeight="1" x14ac:dyDescent="0.25"/>
    <row r="649" ht="28.7" customHeight="1" x14ac:dyDescent="0.25"/>
    <row r="650" ht="28.7" customHeight="1" x14ac:dyDescent="0.25"/>
    <row r="651" ht="28.7" customHeight="1" x14ac:dyDescent="0.25"/>
    <row r="652" ht="28.7" customHeight="1" x14ac:dyDescent="0.25"/>
    <row r="653" ht="28.7" customHeight="1" x14ac:dyDescent="0.25"/>
    <row r="654" ht="28.7" customHeight="1" x14ac:dyDescent="0.25"/>
    <row r="655" ht="28.7" customHeight="1" x14ac:dyDescent="0.25"/>
    <row r="656" ht="28.7" customHeight="1" x14ac:dyDescent="0.25"/>
    <row r="657" ht="28.7" customHeight="1" x14ac:dyDescent="0.25"/>
    <row r="658" ht="28.7" customHeight="1" x14ac:dyDescent="0.25"/>
    <row r="659" ht="28.7" customHeight="1" x14ac:dyDescent="0.25"/>
    <row r="660" ht="28.7" customHeight="1" x14ac:dyDescent="0.25"/>
    <row r="661" ht="28.7" customHeight="1" x14ac:dyDescent="0.25"/>
    <row r="662" ht="28.7" customHeight="1" x14ac:dyDescent="0.25"/>
    <row r="663" ht="28.7" customHeight="1" x14ac:dyDescent="0.25"/>
    <row r="664" ht="28.7" customHeight="1" x14ac:dyDescent="0.25"/>
    <row r="665" ht="28.7" customHeight="1" x14ac:dyDescent="0.25"/>
    <row r="666" ht="28.7" customHeight="1" x14ac:dyDescent="0.25"/>
    <row r="667" ht="28.7" customHeight="1" x14ac:dyDescent="0.25"/>
    <row r="668" ht="28.7" customHeight="1" x14ac:dyDescent="0.25"/>
    <row r="669" ht="28.7" customHeight="1" x14ac:dyDescent="0.25"/>
    <row r="670" ht="28.7" customHeight="1" x14ac:dyDescent="0.25"/>
    <row r="671" ht="28.7" customHeight="1" x14ac:dyDescent="0.25"/>
    <row r="672" ht="28.7" customHeight="1" x14ac:dyDescent="0.25"/>
    <row r="673" ht="28.7" customHeight="1" x14ac:dyDescent="0.25"/>
    <row r="674" ht="28.7" customHeight="1" x14ac:dyDescent="0.25"/>
    <row r="675" ht="28.7" customHeight="1" x14ac:dyDescent="0.25"/>
    <row r="676" ht="28.7" customHeight="1" x14ac:dyDescent="0.25"/>
    <row r="677" ht="28.7" customHeight="1" x14ac:dyDescent="0.25"/>
    <row r="678" ht="28.7" customHeight="1" x14ac:dyDescent="0.25"/>
    <row r="679" ht="28.7" customHeight="1" x14ac:dyDescent="0.25"/>
    <row r="680" ht="28.7" customHeight="1" x14ac:dyDescent="0.25"/>
    <row r="681" ht="28.7" customHeight="1" x14ac:dyDescent="0.25"/>
    <row r="682" ht="28.7" customHeight="1" x14ac:dyDescent="0.25"/>
    <row r="683" ht="28.7" customHeight="1" x14ac:dyDescent="0.25"/>
    <row r="684" ht="28.7" customHeight="1" x14ac:dyDescent="0.25"/>
    <row r="685" ht="28.7" customHeight="1" x14ac:dyDescent="0.25"/>
    <row r="686" ht="28.7" customHeight="1" x14ac:dyDescent="0.25"/>
    <row r="687" ht="28.7" customHeight="1" x14ac:dyDescent="0.25"/>
    <row r="688" ht="28.7" customHeight="1" x14ac:dyDescent="0.25"/>
    <row r="689" ht="28.7" customHeight="1" x14ac:dyDescent="0.25"/>
    <row r="690" ht="28.7" customHeight="1" x14ac:dyDescent="0.25"/>
    <row r="691" ht="28.7" customHeight="1" x14ac:dyDescent="0.25"/>
    <row r="692" ht="28.7" customHeight="1" x14ac:dyDescent="0.25"/>
    <row r="693" ht="28.7" customHeight="1" x14ac:dyDescent="0.25"/>
    <row r="694" ht="28.7" customHeight="1" x14ac:dyDescent="0.25"/>
    <row r="695" ht="28.7" customHeight="1" x14ac:dyDescent="0.25"/>
    <row r="696" ht="28.7" customHeight="1" x14ac:dyDescent="0.25"/>
    <row r="697" ht="28.7" customHeight="1" x14ac:dyDescent="0.25"/>
    <row r="698" ht="28.7" customHeight="1" x14ac:dyDescent="0.25"/>
    <row r="699" ht="28.7" customHeight="1" x14ac:dyDescent="0.25"/>
    <row r="700" ht="28.7" customHeight="1" x14ac:dyDescent="0.25"/>
    <row r="701" ht="28.7" customHeight="1" x14ac:dyDescent="0.25"/>
    <row r="702" ht="28.7" customHeight="1" x14ac:dyDescent="0.25"/>
    <row r="703" ht="28.7" customHeight="1" x14ac:dyDescent="0.25"/>
    <row r="704" ht="28.7" customHeight="1" x14ac:dyDescent="0.25"/>
    <row r="705" ht="28.7" customHeight="1" x14ac:dyDescent="0.25"/>
    <row r="706" ht="28.7" customHeight="1" x14ac:dyDescent="0.25"/>
    <row r="707" ht="28.7" customHeight="1" x14ac:dyDescent="0.25"/>
    <row r="708" ht="28.7" customHeight="1" x14ac:dyDescent="0.25"/>
    <row r="709" ht="28.7" customHeight="1" x14ac:dyDescent="0.25"/>
    <row r="710" ht="28.7" customHeight="1" x14ac:dyDescent="0.25"/>
    <row r="711" ht="28.7" customHeight="1" x14ac:dyDescent="0.25"/>
    <row r="712" ht="28.7" customHeight="1" x14ac:dyDescent="0.25"/>
    <row r="713" ht="28.7" customHeight="1" x14ac:dyDescent="0.25"/>
    <row r="714" ht="28.7" customHeight="1" x14ac:dyDescent="0.25"/>
    <row r="715" ht="28.7" customHeight="1" x14ac:dyDescent="0.25"/>
    <row r="716" ht="28.7" customHeight="1" x14ac:dyDescent="0.25"/>
    <row r="717" ht="28.7" customHeight="1" x14ac:dyDescent="0.25"/>
    <row r="718" ht="28.7" customHeight="1" x14ac:dyDescent="0.25"/>
    <row r="719" ht="28.7" customHeight="1" x14ac:dyDescent="0.25"/>
    <row r="720" ht="28.7" customHeight="1" x14ac:dyDescent="0.25"/>
    <row r="721" ht="28.7" customHeight="1" x14ac:dyDescent="0.25"/>
    <row r="722" ht="28.7" customHeight="1" x14ac:dyDescent="0.25"/>
    <row r="723" ht="28.7" customHeight="1" x14ac:dyDescent="0.25"/>
    <row r="724" ht="28.7" customHeight="1" x14ac:dyDescent="0.25"/>
    <row r="725" ht="28.7" customHeight="1" x14ac:dyDescent="0.25"/>
    <row r="726" ht="28.7" customHeight="1" x14ac:dyDescent="0.25"/>
    <row r="727" ht="28.7" customHeight="1" x14ac:dyDescent="0.25"/>
    <row r="728" ht="28.7" customHeight="1" x14ac:dyDescent="0.25"/>
    <row r="729" ht="28.7" customHeight="1" x14ac:dyDescent="0.25"/>
    <row r="730" ht="28.7" customHeight="1" x14ac:dyDescent="0.25"/>
    <row r="731" ht="28.7" customHeight="1" x14ac:dyDescent="0.25"/>
    <row r="732" ht="28.7" customHeight="1" x14ac:dyDescent="0.25"/>
    <row r="733" ht="28.7" customHeight="1" x14ac:dyDescent="0.25"/>
    <row r="734" ht="28.7" customHeight="1" x14ac:dyDescent="0.25"/>
    <row r="735" ht="28.7" customHeight="1" x14ac:dyDescent="0.25"/>
    <row r="736" ht="28.7" customHeight="1" x14ac:dyDescent="0.25"/>
    <row r="737" ht="28.7" customHeight="1" x14ac:dyDescent="0.25"/>
    <row r="738" ht="28.7" customHeight="1" x14ac:dyDescent="0.25"/>
    <row r="739" ht="28.7" customHeight="1" x14ac:dyDescent="0.25"/>
    <row r="740" ht="28.7" customHeight="1" x14ac:dyDescent="0.25"/>
    <row r="741" ht="28.7" customHeight="1" x14ac:dyDescent="0.25"/>
    <row r="742" ht="28.7" customHeight="1" x14ac:dyDescent="0.25"/>
    <row r="743" ht="28.7" customHeight="1" x14ac:dyDescent="0.25"/>
    <row r="744" ht="28.7" customHeight="1" x14ac:dyDescent="0.25"/>
    <row r="745" ht="28.7" customHeight="1" x14ac:dyDescent="0.25"/>
    <row r="746" ht="28.7" customHeight="1" x14ac:dyDescent="0.25"/>
    <row r="747" ht="28.7" customHeight="1" x14ac:dyDescent="0.25"/>
    <row r="748" ht="28.7" customHeight="1" x14ac:dyDescent="0.25"/>
    <row r="749" ht="28.7" customHeight="1" x14ac:dyDescent="0.25"/>
    <row r="750" ht="28.7" customHeight="1" x14ac:dyDescent="0.25"/>
    <row r="751" ht="28.7" customHeight="1" x14ac:dyDescent="0.25"/>
    <row r="752" ht="28.7" customHeight="1" x14ac:dyDescent="0.25"/>
    <row r="753" ht="28.7" customHeight="1" x14ac:dyDescent="0.25"/>
    <row r="754" ht="28.7" customHeight="1" x14ac:dyDescent="0.25"/>
    <row r="755" ht="28.7" customHeight="1" x14ac:dyDescent="0.25"/>
    <row r="756" ht="28.7" customHeight="1" x14ac:dyDescent="0.25"/>
    <row r="757" ht="28.7" customHeight="1" x14ac:dyDescent="0.25"/>
    <row r="758" ht="28.7" customHeight="1" x14ac:dyDescent="0.25"/>
    <row r="759" ht="28.7" customHeight="1" x14ac:dyDescent="0.25"/>
    <row r="760" ht="28.7" customHeight="1" x14ac:dyDescent="0.25"/>
    <row r="761" ht="28.7" customHeight="1" x14ac:dyDescent="0.25"/>
    <row r="762" ht="28.7" customHeight="1" x14ac:dyDescent="0.25"/>
    <row r="763" ht="28.7" customHeight="1" x14ac:dyDescent="0.25"/>
    <row r="764" ht="28.7" customHeight="1" x14ac:dyDescent="0.25"/>
    <row r="765" ht="28.7" customHeight="1" x14ac:dyDescent="0.25"/>
    <row r="766" ht="28.7" customHeight="1" x14ac:dyDescent="0.25"/>
    <row r="767" ht="28.7" customHeight="1" x14ac:dyDescent="0.25"/>
    <row r="768" ht="28.7" customHeight="1" x14ac:dyDescent="0.25"/>
    <row r="769" ht="28.7" customHeight="1" x14ac:dyDescent="0.25"/>
    <row r="770" ht="28.7" customHeight="1" x14ac:dyDescent="0.25"/>
    <row r="771" ht="28.7" customHeight="1" x14ac:dyDescent="0.25"/>
    <row r="772" ht="28.7" customHeight="1" x14ac:dyDescent="0.25"/>
    <row r="773" ht="28.7" customHeight="1" x14ac:dyDescent="0.25"/>
    <row r="774" ht="28.7" customHeight="1" x14ac:dyDescent="0.25"/>
    <row r="775" ht="28.7" customHeight="1" x14ac:dyDescent="0.25"/>
    <row r="776" ht="28.7" customHeight="1" x14ac:dyDescent="0.25"/>
    <row r="777" ht="28.7" customHeight="1" x14ac:dyDescent="0.25"/>
    <row r="778" ht="28.7" customHeight="1" x14ac:dyDescent="0.25"/>
    <row r="779" ht="28.7" customHeight="1" x14ac:dyDescent="0.25"/>
    <row r="780" ht="28.7" customHeight="1" x14ac:dyDescent="0.25"/>
    <row r="781" ht="28.7" customHeight="1" x14ac:dyDescent="0.25"/>
    <row r="782" ht="28.7" customHeight="1" x14ac:dyDescent="0.25"/>
    <row r="783" ht="28.7" customHeight="1" x14ac:dyDescent="0.25"/>
    <row r="784" ht="28.7" customHeight="1" x14ac:dyDescent="0.25"/>
    <row r="785" ht="28.7" customHeight="1" x14ac:dyDescent="0.25"/>
    <row r="786" ht="28.7" customHeight="1" x14ac:dyDescent="0.25"/>
  </sheetData>
  <mergeCells count="15">
    <mergeCell ref="C10:E10"/>
    <mergeCell ref="L10:M10"/>
    <mergeCell ref="L11:M11"/>
    <mergeCell ref="E5:K7"/>
    <mergeCell ref="C2:M2"/>
    <mergeCell ref="C3:M3"/>
    <mergeCell ref="F10:K10"/>
    <mergeCell ref="C11:E11"/>
    <mergeCell ref="F11:K11"/>
    <mergeCell ref="G14:L14"/>
    <mergeCell ref="C18:L18"/>
    <mergeCell ref="C14:F14"/>
    <mergeCell ref="C13:D13"/>
    <mergeCell ref="H13:I13"/>
    <mergeCell ref="E13:G13"/>
  </mergeCells>
  <pageMargins left="0.7" right="0.2" top="0.44" bottom="0.45" header="0.2" footer="0.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2674-E959-4D4B-94C8-19FF58809D8A}">
  <dimension ref="A1:G62"/>
  <sheetViews>
    <sheetView view="pageLayout" topLeftCell="A43" zoomScale="55" zoomScaleNormal="100" zoomScalePageLayoutView="55" workbookViewId="0">
      <selection activeCell="B53" sqref="B53:D60"/>
    </sheetView>
  </sheetViews>
  <sheetFormatPr defaultColWidth="9.140625" defaultRowHeight="16.5" x14ac:dyDescent="0.25"/>
  <cols>
    <col min="1" max="1" width="6" style="1" customWidth="1"/>
    <col min="2" max="2" width="39.140625" style="2" customWidth="1"/>
    <col min="3" max="3" width="12.85546875" style="1" customWidth="1"/>
    <col min="4" max="4" width="45.7109375" style="1" customWidth="1"/>
    <col min="5" max="7" width="11.28515625" style="1" customWidth="1"/>
    <col min="8" max="16384" width="9.140625" style="1"/>
  </cols>
  <sheetData>
    <row r="1" spans="1:7" ht="30" customHeight="1" x14ac:dyDescent="0.3">
      <c r="A1" s="16"/>
      <c r="B1" s="18" t="s">
        <v>24</v>
      </c>
      <c r="C1" s="49" t="s">
        <v>78</v>
      </c>
      <c r="D1" s="17" t="s">
        <v>9</v>
      </c>
      <c r="E1" s="19" t="s">
        <v>11</v>
      </c>
      <c r="F1" s="21" t="s">
        <v>10</v>
      </c>
      <c r="G1" s="19" t="s">
        <v>25</v>
      </c>
    </row>
    <row r="2" spans="1:7" ht="30" customHeight="1" x14ac:dyDescent="0.3">
      <c r="A2" s="16"/>
      <c r="B2" s="18" t="s">
        <v>79</v>
      </c>
      <c r="C2" s="165" t="s">
        <v>80</v>
      </c>
      <c r="D2" s="166"/>
      <c r="E2" s="20" t="s">
        <v>1</v>
      </c>
      <c r="F2" s="167" t="s">
        <v>40</v>
      </c>
      <c r="G2" s="167"/>
    </row>
    <row r="3" spans="1:7" ht="30" customHeight="1" x14ac:dyDescent="0.25"/>
    <row r="4" spans="1:7" ht="30" customHeight="1" x14ac:dyDescent="0.25">
      <c r="A4" s="164" t="s">
        <v>0</v>
      </c>
      <c r="B4" s="164"/>
      <c r="C4" s="164"/>
      <c r="D4" s="164"/>
      <c r="E4" s="164"/>
      <c r="F4" s="164"/>
      <c r="G4" s="164"/>
    </row>
    <row r="5" spans="1:7" ht="57.6" customHeight="1" x14ac:dyDescent="0.25"/>
    <row r="6" spans="1:7" s="10" customFormat="1" ht="60" customHeight="1" x14ac:dyDescent="0.25">
      <c r="A6" s="3" t="s">
        <v>2</v>
      </c>
      <c r="B6" s="4" t="s">
        <v>3</v>
      </c>
      <c r="C6" s="5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ht="36" customHeight="1" x14ac:dyDescent="0.25">
      <c r="A7" s="6">
        <v>1</v>
      </c>
      <c r="B7" s="7" t="str">
        <f>'DANH SÁCH CHIA NHÓM'!C3</f>
        <v>DIỆP LƯƠNG AN</v>
      </c>
      <c r="C7" s="51">
        <f>'DANH SÁCH CHIA NHÓM'!D3</f>
        <v>34335</v>
      </c>
      <c r="D7" s="8" t="str">
        <f>'DANH SÁCH CHIA NHÓM'!F3</f>
        <v>Tổ 5 Ấp 2 X. Thanh Sơn, H. Định Quán, T. Đồng Nai</v>
      </c>
      <c r="E7" s="6"/>
      <c r="F7" s="9"/>
      <c r="G7" s="9"/>
    </row>
    <row r="8" spans="1:7" ht="36" customHeight="1" x14ac:dyDescent="0.25">
      <c r="A8" s="6">
        <v>2</v>
      </c>
      <c r="B8" s="7" t="str">
        <f>'DANH SÁCH CHIA NHÓM'!C4</f>
        <v>ĐẶNG VĂN ĐEN</v>
      </c>
      <c r="C8" s="51">
        <f>'DANH SÁCH CHIA NHÓM'!D4</f>
        <v>33604</v>
      </c>
      <c r="D8" s="8" t="str">
        <f>'DANH SÁCH CHIA NHÓM'!F4</f>
        <v>21/23/6 Đất Thánh P.06, Q. Tân Bình, TP. Hồ Chí Minh</v>
      </c>
      <c r="E8" s="6"/>
      <c r="F8" s="9"/>
      <c r="G8" s="9"/>
    </row>
    <row r="9" spans="1:7" ht="36" customHeight="1" x14ac:dyDescent="0.25">
      <c r="A9" s="6">
        <v>3</v>
      </c>
      <c r="B9" s="7" t="str">
        <f>'DANH SÁCH CHIA NHÓM'!C5</f>
        <v>LÝ HUỲNH ĐỨC DUY</v>
      </c>
      <c r="C9" s="51">
        <f>'DANH SÁCH CHIA NHÓM'!D5</f>
        <v>37270</v>
      </c>
      <c r="D9" s="8" t="str">
        <f>'DANH SÁCH CHIA NHÓM'!F5</f>
        <v>167 Nguyễn Văn Công P.03, Q. Gò Vấp, TP. Hồ Chí Minh</v>
      </c>
      <c r="E9" s="6"/>
      <c r="F9" s="9"/>
      <c r="G9" s="9"/>
    </row>
    <row r="10" spans="1:7" ht="36" customHeight="1" x14ac:dyDescent="0.25">
      <c r="A10" s="6">
        <v>4</v>
      </c>
      <c r="B10" s="7" t="str">
        <f>'DANH SÁCH CHIA NHÓM'!C6</f>
        <v>HỒ TUẤN KIỆT</v>
      </c>
      <c r="C10" s="51">
        <f>'DANH SÁCH CHIA NHÓM'!D6</f>
        <v>36296</v>
      </c>
      <c r="D10" s="8" t="str">
        <f>'DANH SÁCH CHIA NHÓM'!F6</f>
        <v>250/25/15 Nguyễn Thượng Hiền P.05, Q. Phú Nhuận, TP. Hồ Chí Minh</v>
      </c>
      <c r="E10" s="6"/>
      <c r="F10" s="9"/>
      <c r="G10" s="9"/>
    </row>
    <row r="11" spans="1:7" ht="36" customHeight="1" x14ac:dyDescent="0.25">
      <c r="A11" s="6">
        <v>5</v>
      </c>
      <c r="B11" s="7" t="str">
        <f>'DANH SÁCH CHIA NHÓM'!C7</f>
        <v>TRẦN HỮU LONG</v>
      </c>
      <c r="C11" s="51">
        <f>'DANH SÁCH CHIA NHÓM'!D7</f>
        <v>33170</v>
      </c>
      <c r="D11" s="8" t="str">
        <f>'DANH SÁCH CHIA NHÓM'!F7</f>
        <v>Ấp Giồng Lớn X. Mỹ Hạnh Nam, H. Đức Hòa, T. Long An</v>
      </c>
      <c r="E11" s="6"/>
      <c r="F11" s="9"/>
      <c r="G11" s="9"/>
    </row>
    <row r="12" spans="1:7" ht="36" customHeight="1" x14ac:dyDescent="0.25">
      <c r="A12" s="6">
        <v>6</v>
      </c>
      <c r="B12" s="7" t="str">
        <f>'DANH SÁCH CHIA NHÓM'!C8</f>
        <v>PHẠM VĂN PHÚ</v>
      </c>
      <c r="C12" s="51">
        <f>'DANH SÁCH CHIA NHÓM'!D8</f>
        <v>36552</v>
      </c>
      <c r="D12" s="8" t="str">
        <f>'DANH SÁCH CHIA NHÓM'!F8</f>
        <v>Số 337 Bình Mỹ Ấp 6B X. Bình Mỹ, H. Củ Chi, TP. Hồ Chí Minh</v>
      </c>
      <c r="E12" s="6"/>
      <c r="F12" s="9"/>
      <c r="G12" s="9"/>
    </row>
    <row r="13" spans="1:7" ht="36" customHeight="1" x14ac:dyDescent="0.25">
      <c r="A13" s="6">
        <v>7</v>
      </c>
      <c r="B13" s="7" t="str">
        <f>'DANH SÁCH CHIA NHÓM'!C9</f>
        <v>ĐỖ HỮU PHƯỚC</v>
      </c>
      <c r="C13" s="51">
        <f>'DANH SÁCH CHIA NHÓM'!D9</f>
        <v>30909</v>
      </c>
      <c r="D13" s="8" t="str">
        <f>'DANH SÁCH CHIA NHÓM'!F9</f>
        <v>03 Nguyễn Văn Ngọc P. Tân Thành, Q. Tân Phú, TP. Hồ Chí Minh</v>
      </c>
      <c r="E13" s="6"/>
      <c r="F13" s="9"/>
      <c r="G13" s="9"/>
    </row>
    <row r="14" spans="1:7" ht="36" customHeight="1" x14ac:dyDescent="0.25">
      <c r="A14" s="6">
        <v>8</v>
      </c>
      <c r="B14" s="7" t="str">
        <f>'DANH SÁCH CHIA NHÓM'!C10</f>
        <v>ĐINH THANH TOÀN</v>
      </c>
      <c r="C14" s="51">
        <f>'DANH SÁCH CHIA NHÓM'!D10</f>
        <v>37769</v>
      </c>
      <c r="D14" s="8" t="str">
        <f>'DANH SÁCH CHIA NHÓM'!F10</f>
        <v>Ấp 4 X. Tân An Luông, H. Vũng Liêm, T. Vĩnh Long</v>
      </c>
      <c r="E14" s="6"/>
      <c r="F14" s="9"/>
      <c r="G14" s="9"/>
    </row>
    <row r="15" spans="1:7" ht="36" customHeight="1" x14ac:dyDescent="0.25">
      <c r="A15" s="139"/>
      <c r="B15" s="140"/>
      <c r="C15" s="141"/>
      <c r="D15" s="142"/>
      <c r="E15" s="139"/>
      <c r="F15" s="143"/>
      <c r="G15" s="143"/>
    </row>
    <row r="16" spans="1:7" ht="36" customHeight="1" x14ac:dyDescent="0.25">
      <c r="A16" s="139"/>
      <c r="B16" s="140"/>
      <c r="C16" s="141"/>
      <c r="D16" s="142"/>
      <c r="E16" s="139"/>
      <c r="F16" s="143"/>
      <c r="G16" s="143"/>
    </row>
    <row r="17" spans="1:7" ht="30" customHeight="1" x14ac:dyDescent="0.3">
      <c r="A17" s="16"/>
      <c r="B17" s="18" t="s">
        <v>24</v>
      </c>
      <c r="C17" s="49" t="s">
        <v>78</v>
      </c>
      <c r="D17" s="17" t="s">
        <v>9</v>
      </c>
      <c r="E17" s="19" t="s">
        <v>11</v>
      </c>
      <c r="F17" s="21" t="s">
        <v>10</v>
      </c>
      <c r="G17" s="19" t="s">
        <v>25</v>
      </c>
    </row>
    <row r="18" spans="1:7" ht="30" customHeight="1" x14ac:dyDescent="0.3">
      <c r="A18" s="16"/>
      <c r="B18" s="18" t="s">
        <v>79</v>
      </c>
      <c r="C18" s="165" t="s">
        <v>80</v>
      </c>
      <c r="D18" s="166"/>
      <c r="E18" s="20" t="s">
        <v>1</v>
      </c>
      <c r="F18" s="167" t="s">
        <v>40</v>
      </c>
      <c r="G18" s="167"/>
    </row>
    <row r="19" spans="1:7" ht="30" customHeight="1" x14ac:dyDescent="0.25"/>
    <row r="20" spans="1:7" ht="30" customHeight="1" x14ac:dyDescent="0.25">
      <c r="A20" s="164" t="s">
        <v>0</v>
      </c>
      <c r="B20" s="164"/>
      <c r="C20" s="164"/>
      <c r="D20" s="164"/>
      <c r="E20" s="164"/>
      <c r="F20" s="164"/>
      <c r="G20" s="164"/>
    </row>
    <row r="21" spans="1:7" ht="57.6" customHeight="1" x14ac:dyDescent="0.25"/>
    <row r="22" spans="1:7" s="10" customFormat="1" ht="60" customHeight="1" x14ac:dyDescent="0.25">
      <c r="A22" s="3" t="s">
        <v>2</v>
      </c>
      <c r="B22" s="4" t="s">
        <v>3</v>
      </c>
      <c r="C22" s="5" t="s">
        <v>4</v>
      </c>
      <c r="D22" s="3" t="s">
        <v>5</v>
      </c>
      <c r="E22" s="3" t="s">
        <v>6</v>
      </c>
      <c r="F22" s="3" t="s">
        <v>7</v>
      </c>
      <c r="G22" s="3" t="s">
        <v>8</v>
      </c>
    </row>
    <row r="23" spans="1:7" ht="36" customHeight="1" x14ac:dyDescent="0.25">
      <c r="A23" s="6">
        <v>1</v>
      </c>
      <c r="B23" s="7">
        <f>'DANH SÁCH CHIA NHÓM'!C11</f>
        <v>0</v>
      </c>
      <c r="C23" s="51">
        <f>'DANH SÁCH CHIA NHÓM'!D11</f>
        <v>0</v>
      </c>
      <c r="D23" s="8">
        <f>'DANH SÁCH CHIA NHÓM'!F11</f>
        <v>0</v>
      </c>
      <c r="E23" s="6"/>
      <c r="F23" s="9"/>
      <c r="G23" s="9"/>
    </row>
    <row r="24" spans="1:7" ht="36" customHeight="1" x14ac:dyDescent="0.25">
      <c r="A24" s="6">
        <v>2</v>
      </c>
      <c r="B24" s="7">
        <f>'DANH SÁCH CHIA NHÓM'!C12</f>
        <v>0</v>
      </c>
      <c r="C24" s="51">
        <f>'DANH SÁCH CHIA NHÓM'!D12</f>
        <v>0</v>
      </c>
      <c r="D24" s="8">
        <f>'DANH SÁCH CHIA NHÓM'!F12</f>
        <v>0</v>
      </c>
      <c r="E24" s="6"/>
      <c r="F24" s="9"/>
      <c r="G24" s="9"/>
    </row>
    <row r="25" spans="1:7" ht="36" customHeight="1" x14ac:dyDescent="0.25">
      <c r="A25" s="6">
        <v>3</v>
      </c>
      <c r="B25" s="7">
        <f>'DANH SÁCH CHIA NHÓM'!C13</f>
        <v>0</v>
      </c>
      <c r="C25" s="51">
        <f>'DANH SÁCH CHIA NHÓM'!D13</f>
        <v>0</v>
      </c>
      <c r="D25" s="8">
        <f>'DANH SÁCH CHIA NHÓM'!F13</f>
        <v>0</v>
      </c>
      <c r="E25" s="6"/>
      <c r="F25" s="9"/>
      <c r="G25" s="9"/>
    </row>
    <row r="26" spans="1:7" ht="36" customHeight="1" x14ac:dyDescent="0.25">
      <c r="A26" s="6">
        <v>4</v>
      </c>
      <c r="B26" s="7">
        <f>'DANH SÁCH CHIA NHÓM'!C14</f>
        <v>0</v>
      </c>
      <c r="C26" s="51">
        <f>'DANH SÁCH CHIA NHÓM'!D14</f>
        <v>0</v>
      </c>
      <c r="D26" s="8">
        <f>'DANH SÁCH CHIA NHÓM'!F14</f>
        <v>0</v>
      </c>
      <c r="E26" s="6"/>
      <c r="F26" s="9"/>
      <c r="G26" s="9"/>
    </row>
    <row r="27" spans="1:7" ht="36" customHeight="1" x14ac:dyDescent="0.25">
      <c r="A27" s="6">
        <v>5</v>
      </c>
      <c r="B27" s="7">
        <f>'DANH SÁCH CHIA NHÓM'!C15</f>
        <v>0</v>
      </c>
      <c r="C27" s="51">
        <f>'DANH SÁCH CHIA NHÓM'!D15</f>
        <v>0</v>
      </c>
      <c r="D27" s="8">
        <f>'DANH SÁCH CHIA NHÓM'!F15</f>
        <v>0</v>
      </c>
      <c r="E27" s="6"/>
      <c r="F27" s="9"/>
      <c r="G27" s="9"/>
    </row>
    <row r="28" spans="1:7" ht="36" customHeight="1" x14ac:dyDescent="0.25">
      <c r="A28" s="6">
        <v>6</v>
      </c>
      <c r="B28" s="7">
        <f>'DANH SÁCH CHIA NHÓM'!C16</f>
        <v>0</v>
      </c>
      <c r="C28" s="51">
        <f>'DANH SÁCH CHIA NHÓM'!D16</f>
        <v>0</v>
      </c>
      <c r="D28" s="8">
        <f>'DANH SÁCH CHIA NHÓM'!F16</f>
        <v>0</v>
      </c>
      <c r="E28" s="6"/>
      <c r="F28" s="9"/>
      <c r="G28" s="9"/>
    </row>
    <row r="29" spans="1:7" ht="36" customHeight="1" x14ac:dyDescent="0.25">
      <c r="A29" s="6">
        <v>7</v>
      </c>
      <c r="B29" s="7">
        <f>'DANH SÁCH CHIA NHÓM'!C17</f>
        <v>0</v>
      </c>
      <c r="C29" s="51">
        <f>'DANH SÁCH CHIA NHÓM'!D17</f>
        <v>0</v>
      </c>
      <c r="D29" s="8">
        <f>'DANH SÁCH CHIA NHÓM'!F17</f>
        <v>0</v>
      </c>
      <c r="E29" s="6"/>
      <c r="F29" s="9"/>
      <c r="G29" s="9"/>
    </row>
    <row r="30" spans="1:7" ht="36" customHeight="1" x14ac:dyDescent="0.25">
      <c r="A30" s="6">
        <v>8</v>
      </c>
      <c r="B30" s="7">
        <f>'DANH SÁCH CHIA NHÓM'!C18</f>
        <v>0</v>
      </c>
      <c r="C30" s="51">
        <f>'DANH SÁCH CHIA NHÓM'!D18</f>
        <v>0</v>
      </c>
      <c r="D30" s="8">
        <f>'DANH SÁCH CHIA NHÓM'!F18</f>
        <v>0</v>
      </c>
      <c r="E30" s="6"/>
      <c r="F30" s="9"/>
      <c r="G30" s="9"/>
    </row>
    <row r="31" spans="1:7" ht="36" customHeight="1" x14ac:dyDescent="0.25">
      <c r="B31" s="1"/>
    </row>
    <row r="32" spans="1:7" ht="30" customHeight="1" x14ac:dyDescent="0.3">
      <c r="A32" s="16"/>
      <c r="B32" s="18" t="s">
        <v>24</v>
      </c>
      <c r="C32" s="49" t="s">
        <v>78</v>
      </c>
      <c r="D32" s="17" t="s">
        <v>9</v>
      </c>
      <c r="E32" s="19" t="s">
        <v>11</v>
      </c>
      <c r="F32" s="21" t="s">
        <v>10</v>
      </c>
      <c r="G32" s="19" t="s">
        <v>25</v>
      </c>
    </row>
    <row r="33" spans="1:7" ht="30" customHeight="1" x14ac:dyDescent="0.3">
      <c r="A33" s="16"/>
      <c r="B33" s="18" t="s">
        <v>79</v>
      </c>
      <c r="C33" s="165" t="s">
        <v>80</v>
      </c>
      <c r="D33" s="166"/>
      <c r="E33" s="20" t="s">
        <v>1</v>
      </c>
      <c r="F33" s="167" t="s">
        <v>40</v>
      </c>
      <c r="G33" s="167"/>
    </row>
    <row r="34" spans="1:7" ht="30" customHeight="1" x14ac:dyDescent="0.25"/>
    <row r="35" spans="1:7" ht="30" customHeight="1" x14ac:dyDescent="0.25">
      <c r="A35" s="164" t="s">
        <v>0</v>
      </c>
      <c r="B35" s="164"/>
      <c r="C35" s="164"/>
      <c r="D35" s="164"/>
      <c r="E35" s="164"/>
      <c r="F35" s="164"/>
      <c r="G35" s="164"/>
    </row>
    <row r="36" spans="1:7" ht="57.6" customHeight="1" x14ac:dyDescent="0.25"/>
    <row r="37" spans="1:7" s="10" customFormat="1" ht="60" customHeight="1" x14ac:dyDescent="0.25">
      <c r="A37" s="3" t="s">
        <v>2</v>
      </c>
      <c r="B37" s="4" t="s">
        <v>3</v>
      </c>
      <c r="C37" s="5" t="s">
        <v>4</v>
      </c>
      <c r="D37" s="3" t="s">
        <v>5</v>
      </c>
      <c r="E37" s="3" t="s">
        <v>6</v>
      </c>
      <c r="F37" s="3" t="s">
        <v>7</v>
      </c>
      <c r="G37" s="3" t="s">
        <v>8</v>
      </c>
    </row>
    <row r="38" spans="1:7" ht="36" customHeight="1" x14ac:dyDescent="0.25">
      <c r="A38" s="6">
        <v>1</v>
      </c>
      <c r="B38" s="7">
        <f>'DANH SÁCH CHIA NHÓM'!C19</f>
        <v>0</v>
      </c>
      <c r="C38" s="51">
        <f>'DANH SÁCH CHIA NHÓM'!D19</f>
        <v>0</v>
      </c>
      <c r="D38" s="8">
        <f>'DANH SÁCH CHIA NHÓM'!F19</f>
        <v>0</v>
      </c>
      <c r="E38" s="6"/>
      <c r="F38" s="9"/>
      <c r="G38" s="9"/>
    </row>
    <row r="39" spans="1:7" ht="36" customHeight="1" x14ac:dyDescent="0.25">
      <c r="A39" s="6">
        <v>2</v>
      </c>
      <c r="B39" s="7">
        <f>'DANH SÁCH CHIA NHÓM'!C20</f>
        <v>0</v>
      </c>
      <c r="C39" s="51">
        <f>'DANH SÁCH CHIA NHÓM'!D20</f>
        <v>0</v>
      </c>
      <c r="D39" s="8">
        <f>'DANH SÁCH CHIA NHÓM'!F20</f>
        <v>0</v>
      </c>
      <c r="E39" s="6"/>
      <c r="F39" s="9"/>
      <c r="G39" s="9"/>
    </row>
    <row r="40" spans="1:7" ht="36" customHeight="1" x14ac:dyDescent="0.25">
      <c r="A40" s="6">
        <v>3</v>
      </c>
      <c r="B40" s="7">
        <f>'DANH SÁCH CHIA NHÓM'!C21</f>
        <v>0</v>
      </c>
      <c r="C40" s="51">
        <f>'DANH SÁCH CHIA NHÓM'!D21</f>
        <v>0</v>
      </c>
      <c r="D40" s="8">
        <f>'DANH SÁCH CHIA NHÓM'!F21</f>
        <v>0</v>
      </c>
      <c r="E40" s="6"/>
      <c r="F40" s="9"/>
      <c r="G40" s="9"/>
    </row>
    <row r="41" spans="1:7" ht="36" customHeight="1" x14ac:dyDescent="0.25">
      <c r="A41" s="6">
        <v>4</v>
      </c>
      <c r="B41" s="7">
        <f>'DANH SÁCH CHIA NHÓM'!C22</f>
        <v>0</v>
      </c>
      <c r="C41" s="51">
        <f>'DANH SÁCH CHIA NHÓM'!D22</f>
        <v>0</v>
      </c>
      <c r="D41" s="8">
        <f>'DANH SÁCH CHIA NHÓM'!F22</f>
        <v>0</v>
      </c>
      <c r="E41" s="6"/>
      <c r="F41" s="9"/>
      <c r="G41" s="9"/>
    </row>
    <row r="42" spans="1:7" ht="36" customHeight="1" x14ac:dyDescent="0.25">
      <c r="A42" s="6">
        <v>5</v>
      </c>
      <c r="B42" s="7">
        <f>'DANH SÁCH CHIA NHÓM'!C23</f>
        <v>0</v>
      </c>
      <c r="C42" s="51">
        <f>'DANH SÁCH CHIA NHÓM'!D23</f>
        <v>0</v>
      </c>
      <c r="D42" s="8">
        <f>'DANH SÁCH CHIA NHÓM'!F23</f>
        <v>0</v>
      </c>
      <c r="E42" s="6"/>
      <c r="F42" s="9"/>
      <c r="G42" s="9"/>
    </row>
    <row r="43" spans="1:7" ht="36" customHeight="1" x14ac:dyDescent="0.25">
      <c r="A43" s="6">
        <v>6</v>
      </c>
      <c r="B43" s="7">
        <f>'DANH SÁCH CHIA NHÓM'!C24</f>
        <v>0</v>
      </c>
      <c r="C43" s="51">
        <f>'DANH SÁCH CHIA NHÓM'!D24</f>
        <v>0</v>
      </c>
      <c r="D43" s="8">
        <f>'DANH SÁCH CHIA NHÓM'!F24</f>
        <v>0</v>
      </c>
      <c r="E43" s="6"/>
      <c r="F43" s="9"/>
      <c r="G43" s="9"/>
    </row>
    <row r="44" spans="1:7" ht="36" customHeight="1" x14ac:dyDescent="0.25">
      <c r="A44" s="6">
        <v>7</v>
      </c>
      <c r="B44" s="7">
        <f>'DANH SÁCH CHIA NHÓM'!C25</f>
        <v>0</v>
      </c>
      <c r="C44" s="51">
        <f>'DANH SÁCH CHIA NHÓM'!D25</f>
        <v>0</v>
      </c>
      <c r="D44" s="8">
        <f>'DANH SÁCH CHIA NHÓM'!F25</f>
        <v>0</v>
      </c>
      <c r="E44" s="6"/>
      <c r="F44" s="9"/>
      <c r="G44" s="9"/>
    </row>
    <row r="45" spans="1:7" ht="36" customHeight="1" x14ac:dyDescent="0.25">
      <c r="A45" s="6">
        <v>8</v>
      </c>
      <c r="B45" s="7">
        <f>'DANH SÁCH CHIA NHÓM'!C26</f>
        <v>0</v>
      </c>
      <c r="C45" s="51">
        <f>'DANH SÁCH CHIA NHÓM'!D26</f>
        <v>0</v>
      </c>
      <c r="D45" s="8">
        <f>'DANH SÁCH CHIA NHÓM'!F26</f>
        <v>0</v>
      </c>
      <c r="E45" s="6"/>
      <c r="F45" s="9"/>
      <c r="G45" s="9"/>
    </row>
    <row r="46" spans="1:7" ht="36" customHeight="1" x14ac:dyDescent="0.25">
      <c r="B46" s="1"/>
    </row>
    <row r="47" spans="1:7" ht="30" customHeight="1" x14ac:dyDescent="0.3">
      <c r="A47" s="16"/>
      <c r="B47" s="18" t="s">
        <v>24</v>
      </c>
      <c r="C47" s="49" t="s">
        <v>78</v>
      </c>
      <c r="D47" s="17" t="s">
        <v>9</v>
      </c>
      <c r="E47" s="19" t="s">
        <v>11</v>
      </c>
      <c r="F47" s="21" t="s">
        <v>10</v>
      </c>
      <c r="G47" s="19" t="s">
        <v>25</v>
      </c>
    </row>
    <row r="48" spans="1:7" ht="30" customHeight="1" x14ac:dyDescent="0.3">
      <c r="A48" s="16"/>
      <c r="B48" s="18" t="s">
        <v>79</v>
      </c>
      <c r="C48" s="165" t="s">
        <v>80</v>
      </c>
      <c r="D48" s="166"/>
      <c r="E48" s="20" t="s">
        <v>1</v>
      </c>
      <c r="F48" s="167" t="s">
        <v>40</v>
      </c>
      <c r="G48" s="167"/>
    </row>
    <row r="49" spans="1:7" ht="30" customHeight="1" x14ac:dyDescent="0.25"/>
    <row r="50" spans="1:7" ht="30" customHeight="1" x14ac:dyDescent="0.25">
      <c r="A50" s="164" t="s">
        <v>0</v>
      </c>
      <c r="B50" s="164"/>
      <c r="C50" s="164"/>
      <c r="D50" s="164"/>
      <c r="E50" s="164"/>
      <c r="F50" s="164"/>
      <c r="G50" s="164"/>
    </row>
    <row r="51" spans="1:7" ht="57.6" customHeight="1" x14ac:dyDescent="0.25"/>
    <row r="52" spans="1:7" s="10" customFormat="1" ht="60" customHeight="1" x14ac:dyDescent="0.25">
      <c r="A52" s="3" t="s">
        <v>2</v>
      </c>
      <c r="B52" s="4" t="s">
        <v>3</v>
      </c>
      <c r="C52" s="5" t="s">
        <v>4</v>
      </c>
      <c r="D52" s="3" t="s">
        <v>5</v>
      </c>
      <c r="E52" s="3" t="s">
        <v>6</v>
      </c>
      <c r="F52" s="3" t="s">
        <v>7</v>
      </c>
      <c r="G52" s="3" t="s">
        <v>8</v>
      </c>
    </row>
    <row r="53" spans="1:7" ht="36" customHeight="1" x14ac:dyDescent="0.25">
      <c r="A53" s="6">
        <v>1</v>
      </c>
      <c r="B53" s="7">
        <f>'DANH SÁCH CHIA NHÓM'!C27</f>
        <v>0</v>
      </c>
      <c r="C53" s="51">
        <f>'DANH SÁCH CHIA NHÓM'!D27</f>
        <v>0</v>
      </c>
      <c r="D53" s="8">
        <f>'DANH SÁCH CHIA NHÓM'!F27</f>
        <v>0</v>
      </c>
      <c r="E53" s="6"/>
      <c r="F53" s="9"/>
      <c r="G53" s="9"/>
    </row>
    <row r="54" spans="1:7" ht="36" customHeight="1" x14ac:dyDescent="0.25">
      <c r="A54" s="6">
        <v>2</v>
      </c>
      <c r="B54" s="7">
        <f>'DANH SÁCH CHIA NHÓM'!C28</f>
        <v>0</v>
      </c>
      <c r="C54" s="51">
        <f>'DANH SÁCH CHIA NHÓM'!D28</f>
        <v>0</v>
      </c>
      <c r="D54" s="8">
        <f>'DANH SÁCH CHIA NHÓM'!F28</f>
        <v>0</v>
      </c>
      <c r="E54" s="6"/>
      <c r="F54" s="9"/>
      <c r="G54" s="9"/>
    </row>
    <row r="55" spans="1:7" ht="36" customHeight="1" x14ac:dyDescent="0.25">
      <c r="A55" s="6">
        <v>3</v>
      </c>
      <c r="B55" s="7">
        <f>'DANH SÁCH CHIA NHÓM'!C29</f>
        <v>0</v>
      </c>
      <c r="C55" s="51">
        <f>'DANH SÁCH CHIA NHÓM'!D29</f>
        <v>0</v>
      </c>
      <c r="D55" s="8">
        <f>'DANH SÁCH CHIA NHÓM'!F29</f>
        <v>0</v>
      </c>
      <c r="E55" s="6"/>
      <c r="F55" s="9"/>
      <c r="G55" s="9"/>
    </row>
    <row r="56" spans="1:7" ht="36" customHeight="1" x14ac:dyDescent="0.25">
      <c r="A56" s="6">
        <v>4</v>
      </c>
      <c r="B56" s="7">
        <f>'DANH SÁCH CHIA NHÓM'!C30</f>
        <v>0</v>
      </c>
      <c r="C56" s="51">
        <f>'DANH SÁCH CHIA NHÓM'!D30</f>
        <v>0</v>
      </c>
      <c r="D56" s="8">
        <f>'DANH SÁCH CHIA NHÓM'!F30</f>
        <v>0</v>
      </c>
      <c r="E56" s="6"/>
      <c r="F56" s="9"/>
      <c r="G56" s="9"/>
    </row>
    <row r="57" spans="1:7" ht="36" customHeight="1" x14ac:dyDescent="0.25">
      <c r="A57" s="6">
        <v>5</v>
      </c>
      <c r="B57" s="7">
        <f>'DANH SÁCH CHIA NHÓM'!C31</f>
        <v>0</v>
      </c>
      <c r="C57" s="51">
        <f>'DANH SÁCH CHIA NHÓM'!D31</f>
        <v>0</v>
      </c>
      <c r="D57" s="8">
        <f>'DANH SÁCH CHIA NHÓM'!F31</f>
        <v>0</v>
      </c>
      <c r="E57" s="6"/>
      <c r="F57" s="9"/>
      <c r="G57" s="9"/>
    </row>
    <row r="58" spans="1:7" ht="36" customHeight="1" x14ac:dyDescent="0.25">
      <c r="A58" s="6">
        <v>6</v>
      </c>
      <c r="B58" s="7">
        <f>'DANH SÁCH CHIA NHÓM'!C32</f>
        <v>0</v>
      </c>
      <c r="C58" s="51">
        <f>'DANH SÁCH CHIA NHÓM'!D32</f>
        <v>0</v>
      </c>
      <c r="D58" s="8">
        <f>'DANH SÁCH CHIA NHÓM'!F32</f>
        <v>0</v>
      </c>
      <c r="E58" s="6"/>
      <c r="F58" s="9"/>
      <c r="G58" s="9"/>
    </row>
    <row r="59" spans="1:7" ht="36" customHeight="1" x14ac:dyDescent="0.25">
      <c r="A59" s="6">
        <v>7</v>
      </c>
      <c r="B59" s="7">
        <f>'DANH SÁCH CHIA NHÓM'!C33</f>
        <v>0</v>
      </c>
      <c r="C59" s="51">
        <f>'DANH SÁCH CHIA NHÓM'!D33</f>
        <v>0</v>
      </c>
      <c r="D59" s="8">
        <f>'DANH SÁCH CHIA NHÓM'!F33</f>
        <v>0</v>
      </c>
      <c r="E59" s="6"/>
      <c r="F59" s="9"/>
      <c r="G59" s="9"/>
    </row>
    <row r="60" spans="1:7" ht="36" customHeight="1" x14ac:dyDescent="0.25">
      <c r="A60" s="6">
        <v>8</v>
      </c>
      <c r="B60" s="7">
        <f>'DANH SÁCH CHIA NHÓM'!C34</f>
        <v>0</v>
      </c>
      <c r="C60" s="51">
        <f>'DANH SÁCH CHIA NHÓM'!D34</f>
        <v>0</v>
      </c>
      <c r="D60" s="8">
        <f>'DANH SÁCH CHIA NHÓM'!F34</f>
        <v>0</v>
      </c>
      <c r="E60" s="6"/>
      <c r="F60" s="9"/>
      <c r="G60" s="9"/>
    </row>
    <row r="61" spans="1:7" ht="36" customHeight="1" x14ac:dyDescent="0.25">
      <c r="B61" s="1"/>
    </row>
    <row r="62" spans="1:7" s="12" customFormat="1" ht="36" customHeight="1" x14ac:dyDescent="0.25"/>
  </sheetData>
  <mergeCells count="12">
    <mergeCell ref="F2:G2"/>
    <mergeCell ref="C2:D2"/>
    <mergeCell ref="C33:D33"/>
    <mergeCell ref="F33:G33"/>
    <mergeCell ref="A35:G35"/>
    <mergeCell ref="A50:G50"/>
    <mergeCell ref="C18:D18"/>
    <mergeCell ref="F18:G18"/>
    <mergeCell ref="A20:G20"/>
    <mergeCell ref="A4:G4"/>
    <mergeCell ref="C48:D48"/>
    <mergeCell ref="F48:G48"/>
  </mergeCells>
  <pageMargins left="0.7" right="0.17" top="0.24" bottom="0.24" header="0.22" footer="0.17"/>
  <pageSetup paperSize="9" orientation="landscape" r:id="rId1"/>
  <headerFooter>
    <oddHeader>&amp;L&amp;"Times New Roman,Regular"&amp;8NHÓM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1480-176F-4F36-85B1-849C2D60B331}">
  <dimension ref="A1:T16"/>
  <sheetViews>
    <sheetView tabSelected="1" zoomScale="70" zoomScaleNormal="70" workbookViewId="0">
      <selection activeCell="L27" sqref="L27"/>
    </sheetView>
  </sheetViews>
  <sheetFormatPr defaultRowHeight="15" x14ac:dyDescent="0.25"/>
  <cols>
    <col min="1" max="1" width="12" bestFit="1" customWidth="1"/>
    <col min="2" max="2" width="48" bestFit="1" customWidth="1"/>
    <col min="3" max="3" width="9.7109375" customWidth="1"/>
    <col min="4" max="4" width="12.140625" customWidth="1"/>
    <col min="5" max="5" width="10.140625" bestFit="1" customWidth="1"/>
    <col min="6" max="7" width="9.7109375" customWidth="1"/>
    <col min="8" max="8" width="7.7109375" customWidth="1"/>
    <col min="9" max="9" width="9.28515625" customWidth="1"/>
    <col min="10" max="11" width="10.28515625" customWidth="1"/>
    <col min="12" max="12" width="55.7109375" bestFit="1" customWidth="1"/>
    <col min="14" max="14" width="13.140625" style="22" customWidth="1"/>
    <col min="15" max="15" width="14.7109375" style="22" bestFit="1" customWidth="1"/>
    <col min="16" max="16" width="14.42578125" style="22" bestFit="1" customWidth="1"/>
    <col min="17" max="17" width="23.85546875" style="22" bestFit="1" customWidth="1"/>
    <col min="18" max="20" width="9.140625" style="22"/>
  </cols>
  <sheetData>
    <row r="1" spans="1:20" ht="39.950000000000003" customHeight="1" x14ac:dyDescent="0.25">
      <c r="A1" s="179" t="s">
        <v>12</v>
      </c>
      <c r="B1" s="37" t="s">
        <v>13</v>
      </c>
      <c r="C1" s="182" t="s">
        <v>14</v>
      </c>
      <c r="D1" s="201" t="s">
        <v>131</v>
      </c>
      <c r="E1" s="201" t="s">
        <v>15</v>
      </c>
      <c r="F1" s="182" t="s">
        <v>16</v>
      </c>
      <c r="G1" s="182"/>
      <c r="H1" s="201" t="s">
        <v>17</v>
      </c>
      <c r="I1" s="182" t="s">
        <v>18</v>
      </c>
      <c r="J1" s="202"/>
      <c r="K1" s="30"/>
      <c r="L1" s="30"/>
      <c r="R1"/>
      <c r="S1"/>
      <c r="T1"/>
    </row>
    <row r="2" spans="1:20" ht="39.950000000000003" customHeight="1" thickBot="1" x14ac:dyDescent="0.3">
      <c r="A2" s="180"/>
      <c r="B2" s="25" t="s">
        <v>91</v>
      </c>
      <c r="C2" s="183"/>
      <c r="D2" s="183"/>
      <c r="E2" s="183"/>
      <c r="F2" s="203" t="s">
        <v>19</v>
      </c>
      <c r="G2" s="203" t="s">
        <v>20</v>
      </c>
      <c r="H2" s="183"/>
      <c r="I2" s="262" t="s">
        <v>21</v>
      </c>
      <c r="J2" s="263" t="s">
        <v>132</v>
      </c>
      <c r="K2" s="30"/>
      <c r="L2" s="30"/>
      <c r="R2"/>
      <c r="S2"/>
      <c r="T2"/>
    </row>
    <row r="3" spans="1:20" ht="39.950000000000003" customHeight="1" thickBot="1" x14ac:dyDescent="0.3">
      <c r="A3" s="181"/>
      <c r="B3" s="38" t="s">
        <v>39</v>
      </c>
      <c r="C3" s="184"/>
      <c r="D3" s="184"/>
      <c r="E3" s="184"/>
      <c r="F3" s="184"/>
      <c r="G3" s="184"/>
      <c r="H3" s="184"/>
      <c r="I3" s="264"/>
      <c r="J3" s="265"/>
      <c r="K3" s="30"/>
      <c r="L3" s="232" t="s">
        <v>123</v>
      </c>
      <c r="M3" s="233" t="s">
        <v>88</v>
      </c>
      <c r="N3" s="234"/>
      <c r="O3" s="235" t="s">
        <v>89</v>
      </c>
      <c r="P3" s="236"/>
      <c r="Q3"/>
      <c r="R3"/>
      <c r="S3"/>
      <c r="T3"/>
    </row>
    <row r="4" spans="1:20" ht="30" customHeight="1" x14ac:dyDescent="0.25">
      <c r="A4" s="168">
        <v>45658</v>
      </c>
      <c r="B4" s="33" t="s">
        <v>66</v>
      </c>
      <c r="C4" s="171" t="s">
        <v>22</v>
      </c>
      <c r="D4" s="174">
        <v>4</v>
      </c>
      <c r="E4" s="171">
        <v>12</v>
      </c>
      <c r="F4" s="171"/>
      <c r="G4" s="171"/>
      <c r="H4" s="171">
        <f>D4*1.4</f>
        <v>5.6</v>
      </c>
      <c r="I4" s="171"/>
      <c r="J4" s="194"/>
      <c r="K4" s="31"/>
      <c r="L4" s="237" t="s">
        <v>115</v>
      </c>
      <c r="M4" s="238">
        <v>4</v>
      </c>
      <c r="N4" s="239" t="s">
        <v>124</v>
      </c>
      <c r="O4" s="240">
        <v>12</v>
      </c>
      <c r="P4" s="241" t="s">
        <v>126</v>
      </c>
      <c r="Q4"/>
      <c r="R4"/>
      <c r="S4"/>
      <c r="T4"/>
    </row>
    <row r="5" spans="1:20" ht="30" customHeight="1" x14ac:dyDescent="0.25">
      <c r="A5" s="169"/>
      <c r="B5" s="27" t="s">
        <v>67</v>
      </c>
      <c r="C5" s="173"/>
      <c r="D5" s="175"/>
      <c r="E5" s="173"/>
      <c r="F5" s="173"/>
      <c r="G5" s="173"/>
      <c r="H5" s="173"/>
      <c r="I5" s="173"/>
      <c r="J5" s="195"/>
      <c r="K5" s="31"/>
      <c r="L5" s="242" t="s">
        <v>116</v>
      </c>
      <c r="M5" s="238">
        <v>4</v>
      </c>
      <c r="N5" s="243"/>
      <c r="O5" s="240">
        <v>12</v>
      </c>
      <c r="P5" s="244"/>
      <c r="Q5"/>
      <c r="R5"/>
      <c r="S5"/>
      <c r="T5"/>
    </row>
    <row r="6" spans="1:20" ht="30" customHeight="1" thickBot="1" x14ac:dyDescent="0.3">
      <c r="A6" s="170"/>
      <c r="B6" s="36" t="s">
        <v>42</v>
      </c>
      <c r="C6" s="172"/>
      <c r="D6" s="176"/>
      <c r="E6" s="172"/>
      <c r="F6" s="172"/>
      <c r="G6" s="172"/>
      <c r="H6" s="172"/>
      <c r="I6" s="172"/>
      <c r="J6" s="196"/>
      <c r="K6" s="31"/>
      <c r="L6" s="245" t="s">
        <v>117</v>
      </c>
      <c r="M6" s="238">
        <v>4</v>
      </c>
      <c r="N6" s="243"/>
      <c r="O6" s="240">
        <v>12</v>
      </c>
      <c r="P6" s="244"/>
      <c r="Q6"/>
      <c r="R6"/>
      <c r="S6"/>
      <c r="T6"/>
    </row>
    <row r="7" spans="1:20" ht="30" customHeight="1" thickBot="1" x14ac:dyDescent="0.3">
      <c r="A7" s="168">
        <f>A4</f>
        <v>45658</v>
      </c>
      <c r="B7" s="260" t="s">
        <v>128</v>
      </c>
      <c r="C7" s="171"/>
      <c r="D7" s="171">
        <v>4</v>
      </c>
      <c r="E7" s="171">
        <v>12</v>
      </c>
      <c r="F7" s="171"/>
      <c r="G7" s="171"/>
      <c r="H7" s="171">
        <f>D7*1.4</f>
        <v>5.6</v>
      </c>
      <c r="I7" s="171"/>
      <c r="J7" s="194"/>
      <c r="K7" s="31"/>
      <c r="L7" s="246" t="s">
        <v>118</v>
      </c>
      <c r="M7" s="247">
        <v>20</v>
      </c>
      <c r="N7" s="243"/>
      <c r="O7" s="248">
        <v>84</v>
      </c>
      <c r="P7" s="244"/>
      <c r="Q7"/>
      <c r="R7"/>
      <c r="S7"/>
      <c r="T7"/>
    </row>
    <row r="8" spans="1:20" ht="30" customHeight="1" x14ac:dyDescent="0.25">
      <c r="A8" s="169"/>
      <c r="B8" s="28" t="s">
        <v>69</v>
      </c>
      <c r="C8" s="173"/>
      <c r="D8" s="173"/>
      <c r="E8" s="173"/>
      <c r="F8" s="173"/>
      <c r="G8" s="173"/>
      <c r="H8" s="173"/>
      <c r="I8" s="173"/>
      <c r="J8" s="195"/>
      <c r="K8" s="31"/>
      <c r="L8" s="232" t="s">
        <v>119</v>
      </c>
      <c r="M8" s="249">
        <v>10</v>
      </c>
      <c r="N8" s="250" t="s">
        <v>125</v>
      </c>
      <c r="O8" s="251" t="s">
        <v>127</v>
      </c>
      <c r="P8" s="252"/>
      <c r="Q8"/>
      <c r="R8"/>
      <c r="S8"/>
      <c r="T8"/>
    </row>
    <row r="9" spans="1:20" ht="30" customHeight="1" x14ac:dyDescent="0.25">
      <c r="A9" s="169"/>
      <c r="B9" s="27" t="s">
        <v>68</v>
      </c>
      <c r="C9" s="173"/>
      <c r="D9" s="173"/>
      <c r="E9" s="173"/>
      <c r="F9" s="173"/>
      <c r="G9" s="173"/>
      <c r="H9" s="173"/>
      <c r="I9" s="173"/>
      <c r="J9" s="195"/>
      <c r="K9" s="31"/>
      <c r="L9" s="237" t="s">
        <v>120</v>
      </c>
      <c r="M9" s="238">
        <v>12</v>
      </c>
      <c r="N9" s="243"/>
      <c r="O9" s="253"/>
      <c r="P9" s="254"/>
    </row>
    <row r="10" spans="1:20" ht="30" customHeight="1" thickBot="1" x14ac:dyDescent="0.3">
      <c r="A10" s="170"/>
      <c r="B10" s="36" t="s">
        <v>41</v>
      </c>
      <c r="C10" s="172"/>
      <c r="D10" s="172"/>
      <c r="E10" s="172"/>
      <c r="F10" s="172"/>
      <c r="G10" s="172"/>
      <c r="H10" s="172"/>
      <c r="I10" s="172"/>
      <c r="J10" s="196"/>
      <c r="K10" s="31"/>
      <c r="L10" s="237" t="s">
        <v>121</v>
      </c>
      <c r="M10" s="238">
        <v>8</v>
      </c>
      <c r="N10" s="243"/>
      <c r="O10" s="253"/>
      <c r="P10" s="254"/>
    </row>
    <row r="11" spans="1:20" ht="30" customHeight="1" thickBot="1" x14ac:dyDescent="0.3">
      <c r="A11" s="168">
        <f>A7+1</f>
        <v>45659</v>
      </c>
      <c r="B11" s="68" t="s">
        <v>129</v>
      </c>
      <c r="C11" s="171" t="s">
        <v>22</v>
      </c>
      <c r="D11" s="171">
        <v>4</v>
      </c>
      <c r="E11" s="171">
        <v>12</v>
      </c>
      <c r="F11" s="171"/>
      <c r="G11" s="171"/>
      <c r="H11" s="177">
        <f>D11*1.4</f>
        <v>5.6</v>
      </c>
      <c r="I11" s="197"/>
      <c r="J11" s="199"/>
      <c r="K11" s="31"/>
      <c r="L11" s="255" t="s">
        <v>122</v>
      </c>
      <c r="M11" s="256">
        <v>10</v>
      </c>
      <c r="N11" s="257"/>
      <c r="O11" s="258"/>
      <c r="P11" s="259"/>
    </row>
    <row r="12" spans="1:20" ht="30" customHeight="1" x14ac:dyDescent="0.25">
      <c r="A12" s="169"/>
      <c r="B12" s="28" t="s">
        <v>64</v>
      </c>
      <c r="C12" s="173"/>
      <c r="D12" s="173"/>
      <c r="E12" s="173"/>
      <c r="F12" s="173"/>
      <c r="G12" s="173"/>
      <c r="H12" s="261"/>
      <c r="I12" s="173"/>
      <c r="J12" s="195"/>
      <c r="K12" s="32"/>
      <c r="L12" s="32"/>
    </row>
    <row r="13" spans="1:20" ht="30" customHeight="1" thickBot="1" x14ac:dyDescent="0.3">
      <c r="A13" s="170"/>
      <c r="B13" s="36" t="s">
        <v>27</v>
      </c>
      <c r="C13" s="172"/>
      <c r="D13" s="172"/>
      <c r="E13" s="172"/>
      <c r="F13" s="172"/>
      <c r="G13" s="172"/>
      <c r="H13" s="178"/>
      <c r="I13" s="198"/>
      <c r="J13" s="200"/>
      <c r="K13" s="32"/>
      <c r="L13" s="32"/>
    </row>
    <row r="14" spans="1:20" ht="30" customHeight="1" x14ac:dyDescent="0.25">
      <c r="A14" s="133"/>
      <c r="B14" s="134" t="s">
        <v>87</v>
      </c>
      <c r="C14" s="185" t="s">
        <v>22</v>
      </c>
      <c r="D14" s="35">
        <v>20</v>
      </c>
      <c r="E14" s="13">
        <v>84</v>
      </c>
      <c r="F14" s="135"/>
      <c r="G14" s="135"/>
      <c r="H14" s="24">
        <f>D14*1.8</f>
        <v>36</v>
      </c>
      <c r="I14" s="188"/>
      <c r="J14" s="191"/>
      <c r="K14" s="32"/>
      <c r="L14" s="32"/>
    </row>
    <row r="15" spans="1:20" ht="30" customHeight="1" x14ac:dyDescent="0.25">
      <c r="A15" s="34">
        <f>A11+1</f>
        <v>45660</v>
      </c>
      <c r="B15" s="29" t="s">
        <v>23</v>
      </c>
      <c r="C15" s="186"/>
      <c r="D15" s="26">
        <v>10</v>
      </c>
      <c r="E15" s="14">
        <v>42</v>
      </c>
      <c r="F15" s="15"/>
      <c r="G15" s="15"/>
      <c r="H15" s="23">
        <f>D15*1.8</f>
        <v>18</v>
      </c>
      <c r="I15" s="189"/>
      <c r="J15" s="192"/>
    </row>
    <row r="16" spans="1:20" ht="30" customHeight="1" thickBot="1" x14ac:dyDescent="0.3">
      <c r="A16" s="136">
        <f>A15+1</f>
        <v>45661</v>
      </c>
      <c r="B16" s="137" t="s">
        <v>130</v>
      </c>
      <c r="C16" s="187"/>
      <c r="D16" s="132">
        <v>10</v>
      </c>
      <c r="E16" s="67">
        <v>42</v>
      </c>
      <c r="F16" s="138"/>
      <c r="G16" s="138"/>
      <c r="H16" s="69">
        <f t="shared" ref="H16" si="0">D16*1.8</f>
        <v>18</v>
      </c>
      <c r="I16" s="190"/>
      <c r="J16" s="193"/>
    </row>
  </sheetData>
  <mergeCells count="47">
    <mergeCell ref="F4:F6"/>
    <mergeCell ref="G4:G6"/>
    <mergeCell ref="J2:J3"/>
    <mergeCell ref="I2:I3"/>
    <mergeCell ref="I14:I16"/>
    <mergeCell ref="J14:J16"/>
    <mergeCell ref="F11:F13"/>
    <mergeCell ref="G11:G13"/>
    <mergeCell ref="F7:F10"/>
    <mergeCell ref="G7:G10"/>
    <mergeCell ref="A11:A13"/>
    <mergeCell ref="C11:C13"/>
    <mergeCell ref="D11:D13"/>
    <mergeCell ref="E11:E13"/>
    <mergeCell ref="H11:H13"/>
    <mergeCell ref="A7:A10"/>
    <mergeCell ref="C7:C10"/>
    <mergeCell ref="D7:D10"/>
    <mergeCell ref="E7:E10"/>
    <mergeCell ref="H7:H10"/>
    <mergeCell ref="M3:N3"/>
    <mergeCell ref="O3:P3"/>
    <mergeCell ref="N4:N7"/>
    <mergeCell ref="P4:P7"/>
    <mergeCell ref="N8:N11"/>
    <mergeCell ref="O8:P11"/>
    <mergeCell ref="D1:D3"/>
    <mergeCell ref="E1:E3"/>
    <mergeCell ref="I1:J1"/>
    <mergeCell ref="F2:F3"/>
    <mergeCell ref="G2:G3"/>
    <mergeCell ref="F1:G1"/>
    <mergeCell ref="H1:H3"/>
    <mergeCell ref="J4:J6"/>
    <mergeCell ref="I4:I6"/>
    <mergeCell ref="C4:C6"/>
    <mergeCell ref="I7:I10"/>
    <mergeCell ref="J7:J10"/>
    <mergeCell ref="I11:I13"/>
    <mergeCell ref="J11:J13"/>
    <mergeCell ref="C14:C16"/>
    <mergeCell ref="A4:A6"/>
    <mergeCell ref="D4:D6"/>
    <mergeCell ref="E4:E6"/>
    <mergeCell ref="H4:H6"/>
    <mergeCell ref="A1:A3"/>
    <mergeCell ref="C1:C3"/>
  </mergeCells>
  <pageMargins left="0.48" right="0.17" top="0.28000000000000003" bottom="0.4" header="0.17" footer="0.17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930B-82C3-4424-8A37-37C2D0C28FF0}">
  <dimension ref="A1:N22"/>
  <sheetViews>
    <sheetView topLeftCell="A7" zoomScale="85" zoomScaleNormal="85" workbookViewId="0">
      <selection activeCell="N5" sqref="N5"/>
    </sheetView>
  </sheetViews>
  <sheetFormatPr defaultRowHeight="15" x14ac:dyDescent="0.25"/>
  <cols>
    <col min="1" max="1" width="12" bestFit="1" customWidth="1"/>
    <col min="2" max="2" width="48" bestFit="1" customWidth="1"/>
    <col min="3" max="3" width="9.7109375" customWidth="1"/>
    <col min="4" max="4" width="12.140625" customWidth="1"/>
    <col min="5" max="5" width="10.140625" bestFit="1" customWidth="1"/>
    <col min="6" max="7" width="9.7109375" customWidth="1"/>
    <col min="8" max="8" width="7.7109375" customWidth="1"/>
    <col min="9" max="9" width="9.28515625" customWidth="1"/>
    <col min="10" max="11" width="10.28515625" customWidth="1"/>
  </cols>
  <sheetData>
    <row r="1" spans="1:14" ht="35.1" customHeight="1" x14ac:dyDescent="0.25">
      <c r="A1" s="179" t="s">
        <v>12</v>
      </c>
      <c r="B1" s="37" t="s">
        <v>13</v>
      </c>
      <c r="C1" s="182" t="s">
        <v>14</v>
      </c>
      <c r="D1" s="201" t="s">
        <v>133</v>
      </c>
      <c r="E1" s="201" t="s">
        <v>15</v>
      </c>
      <c r="F1" s="182" t="s">
        <v>16</v>
      </c>
      <c r="G1" s="182"/>
      <c r="H1" s="201" t="s">
        <v>17</v>
      </c>
      <c r="I1" s="182" t="s">
        <v>18</v>
      </c>
      <c r="J1" s="202"/>
      <c r="K1" s="30"/>
    </row>
    <row r="2" spans="1:14" ht="35.1" customHeight="1" x14ac:dyDescent="0.25">
      <c r="A2" s="180"/>
      <c r="B2" s="25" t="s">
        <v>91</v>
      </c>
      <c r="C2" s="183"/>
      <c r="D2" s="183"/>
      <c r="E2" s="183"/>
      <c r="F2" s="203" t="s">
        <v>19</v>
      </c>
      <c r="G2" s="203" t="s">
        <v>20</v>
      </c>
      <c r="H2" s="183"/>
      <c r="I2" s="262" t="s">
        <v>21</v>
      </c>
      <c r="J2" s="263" t="s">
        <v>132</v>
      </c>
      <c r="K2" s="30"/>
    </row>
    <row r="3" spans="1:14" ht="35.1" customHeight="1" thickBot="1" x14ac:dyDescent="0.3">
      <c r="A3" s="181"/>
      <c r="B3" s="38" t="s">
        <v>39</v>
      </c>
      <c r="C3" s="184"/>
      <c r="D3" s="184"/>
      <c r="E3" s="184"/>
      <c r="F3" s="184"/>
      <c r="G3" s="184"/>
      <c r="H3" s="184"/>
      <c r="I3" s="264"/>
      <c r="J3" s="265"/>
      <c r="K3" s="30"/>
    </row>
    <row r="4" spans="1:14" ht="35.1" customHeight="1" x14ac:dyDescent="0.25">
      <c r="A4" s="168"/>
      <c r="B4" s="33" t="s">
        <v>66</v>
      </c>
      <c r="C4" s="171" t="s">
        <v>22</v>
      </c>
      <c r="D4" s="174">
        <v>4</v>
      </c>
      <c r="E4" s="171">
        <v>12</v>
      </c>
      <c r="F4" s="171"/>
      <c r="G4" s="171"/>
      <c r="H4" s="171">
        <f>D4*1.4</f>
        <v>5.6</v>
      </c>
      <c r="I4" s="171"/>
      <c r="J4" s="194"/>
      <c r="K4" s="31"/>
    </row>
    <row r="5" spans="1:14" ht="35.1" customHeight="1" x14ac:dyDescent="0.25">
      <c r="A5" s="169"/>
      <c r="B5" s="27" t="s">
        <v>67</v>
      </c>
      <c r="C5" s="173"/>
      <c r="D5" s="175"/>
      <c r="E5" s="173"/>
      <c r="F5" s="173"/>
      <c r="G5" s="173"/>
      <c r="H5" s="173"/>
      <c r="I5" s="173"/>
      <c r="J5" s="195"/>
      <c r="K5" s="31"/>
    </row>
    <row r="6" spans="1:14" ht="35.1" customHeight="1" thickBot="1" x14ac:dyDescent="0.3">
      <c r="A6" s="170"/>
      <c r="B6" s="36" t="s">
        <v>42</v>
      </c>
      <c r="C6" s="172"/>
      <c r="D6" s="176"/>
      <c r="E6" s="172"/>
      <c r="F6" s="172"/>
      <c r="G6" s="172"/>
      <c r="H6" s="172"/>
      <c r="I6" s="172"/>
      <c r="J6" s="196"/>
      <c r="K6" s="31"/>
    </row>
    <row r="7" spans="1:14" ht="35.1" customHeight="1" x14ac:dyDescent="0.25">
      <c r="A7" s="168"/>
      <c r="B7" s="260" t="s">
        <v>128</v>
      </c>
      <c r="C7" s="171"/>
      <c r="D7" s="171">
        <v>4</v>
      </c>
      <c r="E7" s="171">
        <v>12</v>
      </c>
      <c r="F7" s="171"/>
      <c r="G7" s="171"/>
      <c r="H7" s="171">
        <f>D7*1.4</f>
        <v>5.6</v>
      </c>
      <c r="I7" s="171"/>
      <c r="J7" s="194"/>
      <c r="K7" s="31"/>
    </row>
    <row r="8" spans="1:14" ht="35.1" customHeight="1" x14ac:dyDescent="0.25">
      <c r="A8" s="169"/>
      <c r="B8" s="28" t="s">
        <v>69</v>
      </c>
      <c r="C8" s="173"/>
      <c r="D8" s="173"/>
      <c r="E8" s="173"/>
      <c r="F8" s="173"/>
      <c r="G8" s="173"/>
      <c r="H8" s="173"/>
      <c r="I8" s="173"/>
      <c r="J8" s="195"/>
      <c r="K8" s="31"/>
    </row>
    <row r="9" spans="1:14" ht="35.1" customHeight="1" x14ac:dyDescent="0.25">
      <c r="A9" s="169"/>
      <c r="B9" s="27" t="s">
        <v>68</v>
      </c>
      <c r="C9" s="173"/>
      <c r="D9" s="173"/>
      <c r="E9" s="173"/>
      <c r="F9" s="173"/>
      <c r="G9" s="173"/>
      <c r="H9" s="173"/>
      <c r="I9" s="173"/>
      <c r="J9" s="195"/>
      <c r="K9" s="31"/>
      <c r="L9" s="22"/>
      <c r="M9" s="22"/>
      <c r="N9" s="22"/>
    </row>
    <row r="10" spans="1:14" ht="35.1" customHeight="1" thickBot="1" x14ac:dyDescent="0.3">
      <c r="A10" s="170"/>
      <c r="B10" s="36" t="s">
        <v>41</v>
      </c>
      <c r="C10" s="172"/>
      <c r="D10" s="172"/>
      <c r="E10" s="172"/>
      <c r="F10" s="172"/>
      <c r="G10" s="172"/>
      <c r="H10" s="172"/>
      <c r="I10" s="172"/>
      <c r="J10" s="196"/>
      <c r="K10" s="31"/>
      <c r="L10" s="22"/>
      <c r="M10" s="22"/>
      <c r="N10" s="22"/>
    </row>
    <row r="11" spans="1:14" ht="35.1" customHeight="1" x14ac:dyDescent="0.25">
      <c r="A11" s="168"/>
      <c r="B11" s="68" t="s">
        <v>129</v>
      </c>
      <c r="C11" s="171" t="s">
        <v>22</v>
      </c>
      <c r="D11" s="171">
        <v>4</v>
      </c>
      <c r="E11" s="171">
        <v>12</v>
      </c>
      <c r="F11" s="171"/>
      <c r="G11" s="171"/>
      <c r="H11" s="177">
        <f>D11*1.4</f>
        <v>5.6</v>
      </c>
      <c r="I11" s="197"/>
      <c r="J11" s="199"/>
      <c r="K11" s="31"/>
      <c r="L11" s="22"/>
      <c r="M11" s="22"/>
      <c r="N11" s="22"/>
    </row>
    <row r="12" spans="1:14" ht="35.1" customHeight="1" x14ac:dyDescent="0.25">
      <c r="A12" s="169"/>
      <c r="B12" s="28" t="s">
        <v>64</v>
      </c>
      <c r="C12" s="173"/>
      <c r="D12" s="173"/>
      <c r="E12" s="173"/>
      <c r="F12" s="173"/>
      <c r="G12" s="173"/>
      <c r="H12" s="261"/>
      <c r="I12" s="173"/>
      <c r="J12" s="195"/>
      <c r="K12" s="32"/>
      <c r="L12" s="22"/>
      <c r="M12" s="22"/>
      <c r="N12" s="22"/>
    </row>
    <row r="13" spans="1:14" ht="35.1" customHeight="1" thickBot="1" x14ac:dyDescent="0.3">
      <c r="A13" s="170"/>
      <c r="B13" s="36" t="s">
        <v>27</v>
      </c>
      <c r="C13" s="172"/>
      <c r="D13" s="172"/>
      <c r="E13" s="172"/>
      <c r="F13" s="172"/>
      <c r="G13" s="172"/>
      <c r="H13" s="178"/>
      <c r="I13" s="198"/>
      <c r="J13" s="200"/>
      <c r="K13" s="32"/>
      <c r="L13" s="22"/>
      <c r="M13" s="22"/>
      <c r="N13" s="22"/>
    </row>
    <row r="14" spans="1:14" ht="35.1" customHeight="1" x14ac:dyDescent="0.25">
      <c r="A14" s="133"/>
      <c r="B14" s="134" t="s">
        <v>87</v>
      </c>
      <c r="C14" s="185" t="s">
        <v>22</v>
      </c>
      <c r="D14" s="35">
        <v>20</v>
      </c>
      <c r="E14" s="13">
        <v>84</v>
      </c>
      <c r="F14" s="135"/>
      <c r="G14" s="135"/>
      <c r="H14" s="24">
        <f>D14*1.8</f>
        <v>36</v>
      </c>
      <c r="I14" s="188"/>
      <c r="J14" s="191"/>
      <c r="K14" s="32"/>
      <c r="L14" s="22"/>
      <c r="M14" s="22"/>
      <c r="N14" s="22"/>
    </row>
    <row r="15" spans="1:14" ht="35.1" customHeight="1" x14ac:dyDescent="0.25">
      <c r="A15" s="34"/>
      <c r="B15" s="29" t="s">
        <v>23</v>
      </c>
      <c r="C15" s="186"/>
      <c r="D15" s="26"/>
      <c r="E15" s="14"/>
      <c r="F15" s="15"/>
      <c r="G15" s="15"/>
      <c r="H15" s="23"/>
      <c r="I15" s="189"/>
      <c r="J15" s="192"/>
      <c r="K15" s="32"/>
    </row>
    <row r="16" spans="1:14" ht="35.1" customHeight="1" thickBot="1" x14ac:dyDescent="0.3">
      <c r="A16" s="136"/>
      <c r="B16" s="137" t="s">
        <v>130</v>
      </c>
      <c r="C16" s="187"/>
      <c r="D16" s="132"/>
      <c r="E16" s="67"/>
      <c r="F16" s="138"/>
      <c r="G16" s="138"/>
      <c r="H16" s="69"/>
      <c r="I16" s="190"/>
      <c r="J16" s="193"/>
      <c r="K16" s="32"/>
    </row>
    <row r="17" spans="11:11" ht="39.950000000000003" customHeight="1" x14ac:dyDescent="0.25">
      <c r="K17" s="32"/>
    </row>
    <row r="18" spans="11:11" ht="39.950000000000003" customHeight="1" x14ac:dyDescent="0.25">
      <c r="K18" s="32"/>
    </row>
    <row r="19" spans="11:11" ht="39.950000000000003" customHeight="1" x14ac:dyDescent="0.25">
      <c r="K19" s="32"/>
    </row>
    <row r="20" spans="11:11" ht="39.950000000000003" customHeight="1" x14ac:dyDescent="0.25">
      <c r="K20" s="31"/>
    </row>
    <row r="21" spans="11:11" ht="39.950000000000003" customHeight="1" x14ac:dyDescent="0.25">
      <c r="K21" s="31"/>
    </row>
    <row r="22" spans="11:11" ht="39.950000000000003" customHeight="1" x14ac:dyDescent="0.25">
      <c r="K22" s="31"/>
    </row>
  </sheetData>
  <mergeCells count="41">
    <mergeCell ref="E4:E6"/>
    <mergeCell ref="C4:C6"/>
    <mergeCell ref="E1:E3"/>
    <mergeCell ref="C7:C10"/>
    <mergeCell ref="D7:D10"/>
    <mergeCell ref="E7:E10"/>
    <mergeCell ref="A1:A3"/>
    <mergeCell ref="C1:C3"/>
    <mergeCell ref="D1:D3"/>
    <mergeCell ref="A4:A6"/>
    <mergeCell ref="D4:D6"/>
    <mergeCell ref="A7:A10"/>
    <mergeCell ref="G2:G3"/>
    <mergeCell ref="H1:H3"/>
    <mergeCell ref="I1:J1"/>
    <mergeCell ref="I4:I6"/>
    <mergeCell ref="J4:J6"/>
    <mergeCell ref="H4:H6"/>
    <mergeCell ref="F1:G1"/>
    <mergeCell ref="F2:F3"/>
    <mergeCell ref="I2:I3"/>
    <mergeCell ref="J2:J3"/>
    <mergeCell ref="F4:F6"/>
    <mergeCell ref="G4:G6"/>
    <mergeCell ref="F7:F10"/>
    <mergeCell ref="G7:G10"/>
    <mergeCell ref="H7:H10"/>
    <mergeCell ref="I7:I10"/>
    <mergeCell ref="A11:A13"/>
    <mergeCell ref="C11:C13"/>
    <mergeCell ref="D11:D13"/>
    <mergeCell ref="E11:E13"/>
    <mergeCell ref="F11:F13"/>
    <mergeCell ref="G11:G13"/>
    <mergeCell ref="J7:J10"/>
    <mergeCell ref="H11:H13"/>
    <mergeCell ref="I11:I13"/>
    <mergeCell ref="J11:J13"/>
    <mergeCell ref="C14:C16"/>
    <mergeCell ref="I14:I16"/>
    <mergeCell ref="J14:J16"/>
  </mergeCells>
  <pageMargins left="0.51" right="0.17" top="0.36" bottom="0.19" header="0.17" footer="0.31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0FFB-F365-40CD-B485-241F5AA1923A}">
  <dimension ref="A1:H31"/>
  <sheetViews>
    <sheetView zoomScale="85" zoomScaleNormal="85" workbookViewId="0">
      <selection activeCell="B3" sqref="B3"/>
    </sheetView>
  </sheetViews>
  <sheetFormatPr defaultRowHeight="15.75" x14ac:dyDescent="0.25"/>
  <cols>
    <col min="1" max="1" width="12.140625" style="39" customWidth="1"/>
    <col min="2" max="2" width="55" style="39" customWidth="1"/>
    <col min="3" max="8" width="11.7109375" style="39" customWidth="1"/>
    <col min="9" max="16384" width="9.140625" style="39"/>
  </cols>
  <sheetData>
    <row r="1" spans="1:8" s="48" customFormat="1" ht="30" customHeight="1" thickBot="1" x14ac:dyDescent="0.4">
      <c r="A1" s="46"/>
      <c r="B1" s="46" t="s">
        <v>45</v>
      </c>
      <c r="C1" s="157" t="s">
        <v>46</v>
      </c>
      <c r="D1" s="157"/>
      <c r="E1" s="157"/>
      <c r="F1" s="47" t="s">
        <v>47</v>
      </c>
      <c r="G1" s="47"/>
    </row>
    <row r="2" spans="1:8" ht="32.1" customHeight="1" x14ac:dyDescent="0.25">
      <c r="A2" s="227" t="s">
        <v>12</v>
      </c>
      <c r="B2" s="41" t="s">
        <v>13</v>
      </c>
      <c r="C2" s="218" t="s">
        <v>14</v>
      </c>
      <c r="D2" s="224" t="s">
        <v>33</v>
      </c>
      <c r="E2" s="224" t="s">
        <v>15</v>
      </c>
      <c r="F2" s="224" t="s">
        <v>17</v>
      </c>
      <c r="G2" s="218" t="s">
        <v>18</v>
      </c>
      <c r="H2" s="219"/>
    </row>
    <row r="3" spans="1:8" ht="32.1" customHeight="1" x14ac:dyDescent="0.25">
      <c r="A3" s="228"/>
      <c r="B3" s="40" t="s">
        <v>91</v>
      </c>
      <c r="C3" s="230"/>
      <c r="D3" s="225"/>
      <c r="E3" s="225"/>
      <c r="F3" s="225"/>
      <c r="G3" s="220" t="s">
        <v>21</v>
      </c>
      <c r="H3" s="222" t="s">
        <v>44</v>
      </c>
    </row>
    <row r="4" spans="1:8" ht="32.1" customHeight="1" thickBot="1" x14ac:dyDescent="0.3">
      <c r="A4" s="229"/>
      <c r="B4" s="42" t="s">
        <v>39</v>
      </c>
      <c r="C4" s="231"/>
      <c r="D4" s="226"/>
      <c r="E4" s="226"/>
      <c r="F4" s="226"/>
      <c r="G4" s="221"/>
      <c r="H4" s="223"/>
    </row>
    <row r="5" spans="1:8" ht="32.1" customHeight="1" x14ac:dyDescent="0.25">
      <c r="A5" s="83"/>
      <c r="B5" s="131" t="s">
        <v>134</v>
      </c>
      <c r="C5" s="209" t="s">
        <v>43</v>
      </c>
      <c r="D5" s="79"/>
      <c r="E5" s="75"/>
      <c r="F5" s="76"/>
      <c r="G5" s="211"/>
      <c r="H5" s="213"/>
    </row>
    <row r="6" spans="1:8" ht="32.1" customHeight="1" x14ac:dyDescent="0.25">
      <c r="A6" s="85"/>
      <c r="B6" s="80" t="s">
        <v>27</v>
      </c>
      <c r="C6" s="215"/>
      <c r="D6" s="80"/>
      <c r="E6" s="78"/>
      <c r="F6" s="77"/>
      <c r="G6" s="212"/>
      <c r="H6" s="214"/>
    </row>
    <row r="7" spans="1:8" ht="32.1" customHeight="1" x14ac:dyDescent="0.25">
      <c r="A7" s="85"/>
      <c r="B7" s="80" t="s">
        <v>29</v>
      </c>
      <c r="C7" s="215"/>
      <c r="D7" s="80"/>
      <c r="E7" s="78"/>
      <c r="F7" s="77"/>
      <c r="G7" s="212"/>
      <c r="H7" s="214"/>
    </row>
    <row r="8" spans="1:8" ht="32.1" customHeight="1" thickBot="1" x14ac:dyDescent="0.3">
      <c r="A8" s="85"/>
      <c r="B8" s="80" t="s">
        <v>135</v>
      </c>
      <c r="C8" s="215"/>
      <c r="D8" s="80"/>
      <c r="E8" s="78"/>
      <c r="F8" s="77"/>
      <c r="G8" s="212"/>
      <c r="H8" s="214"/>
    </row>
    <row r="9" spans="1:8" ht="32.1" customHeight="1" x14ac:dyDescent="0.25">
      <c r="A9" s="84"/>
      <c r="B9" s="82" t="s">
        <v>136</v>
      </c>
      <c r="C9" s="209" t="s">
        <v>43</v>
      </c>
      <c r="D9" s="86"/>
      <c r="E9" s="87"/>
      <c r="F9" s="87"/>
      <c r="G9" s="211"/>
      <c r="H9" s="213"/>
    </row>
    <row r="10" spans="1:8" ht="32.1" customHeight="1" x14ac:dyDescent="0.25">
      <c r="A10" s="85"/>
      <c r="B10" s="80" t="s">
        <v>70</v>
      </c>
      <c r="C10" s="210"/>
      <c r="D10" s="80"/>
      <c r="E10" s="78"/>
      <c r="F10" s="78"/>
      <c r="G10" s="212"/>
      <c r="H10" s="214"/>
    </row>
    <row r="11" spans="1:8" ht="32.1" customHeight="1" x14ac:dyDescent="0.25">
      <c r="A11" s="85"/>
      <c r="B11" s="80" t="s">
        <v>71</v>
      </c>
      <c r="C11" s="210"/>
      <c r="D11" s="80"/>
      <c r="E11" s="78"/>
      <c r="F11" s="78"/>
      <c r="G11" s="212"/>
      <c r="H11" s="214"/>
    </row>
    <row r="12" spans="1:8" ht="32.1" customHeight="1" thickBot="1" x14ac:dyDescent="0.3">
      <c r="A12" s="85"/>
      <c r="B12" s="80" t="s">
        <v>28</v>
      </c>
      <c r="C12" s="210"/>
      <c r="D12" s="80"/>
      <c r="E12" s="78"/>
      <c r="F12" s="78"/>
      <c r="G12" s="212"/>
      <c r="H12" s="214"/>
    </row>
    <row r="13" spans="1:8" ht="32.1" customHeight="1" x14ac:dyDescent="0.25">
      <c r="A13" s="83"/>
      <c r="B13" s="81" t="s">
        <v>137</v>
      </c>
      <c r="C13" s="209" t="s">
        <v>43</v>
      </c>
      <c r="D13" s="86"/>
      <c r="E13" s="87"/>
      <c r="F13" s="88"/>
      <c r="G13" s="211"/>
      <c r="H13" s="213"/>
    </row>
    <row r="14" spans="1:8" ht="32.1" customHeight="1" x14ac:dyDescent="0.25">
      <c r="A14" s="85"/>
      <c r="B14" s="80" t="s">
        <v>30</v>
      </c>
      <c r="C14" s="210"/>
      <c r="D14" s="80"/>
      <c r="E14" s="78"/>
      <c r="F14" s="77"/>
      <c r="G14" s="212"/>
      <c r="H14" s="214"/>
    </row>
    <row r="15" spans="1:8" ht="32.1" customHeight="1" x14ac:dyDescent="0.25">
      <c r="A15" s="85"/>
      <c r="B15" s="80" t="s">
        <v>27</v>
      </c>
      <c r="C15" s="210"/>
      <c r="D15" s="80"/>
      <c r="E15" s="78"/>
      <c r="F15" s="77"/>
      <c r="G15" s="212"/>
      <c r="H15" s="214"/>
    </row>
    <row r="16" spans="1:8" ht="32.1" customHeight="1" x14ac:dyDescent="0.25">
      <c r="A16" s="85"/>
      <c r="B16" s="80" t="s">
        <v>31</v>
      </c>
      <c r="C16" s="210"/>
      <c r="D16" s="80"/>
      <c r="E16" s="78"/>
      <c r="F16" s="77"/>
      <c r="G16" s="212"/>
      <c r="H16" s="214"/>
    </row>
    <row r="17" spans="1:8" ht="32.1" customHeight="1" x14ac:dyDescent="0.25">
      <c r="A17" s="85"/>
      <c r="B17" s="80" t="s">
        <v>32</v>
      </c>
      <c r="C17" s="210"/>
      <c r="D17" s="80"/>
      <c r="E17" s="78"/>
      <c r="F17" s="77"/>
      <c r="G17" s="212"/>
      <c r="H17" s="214"/>
    </row>
    <row r="18" spans="1:8" ht="32.1" customHeight="1" thickBot="1" x14ac:dyDescent="0.3">
      <c r="A18" s="85"/>
      <c r="B18" s="80" t="s">
        <v>72</v>
      </c>
      <c r="C18" s="210"/>
      <c r="D18" s="80"/>
      <c r="E18" s="78"/>
      <c r="F18" s="77"/>
      <c r="G18" s="212"/>
      <c r="H18" s="214"/>
    </row>
    <row r="19" spans="1:8" ht="32.1" customHeight="1" x14ac:dyDescent="0.25">
      <c r="A19" s="89"/>
      <c r="B19" s="81" t="s">
        <v>138</v>
      </c>
      <c r="C19" s="209" t="s">
        <v>43</v>
      </c>
      <c r="D19" s="86"/>
      <c r="E19" s="87"/>
      <c r="F19" s="87"/>
      <c r="G19" s="211"/>
      <c r="H19" s="213"/>
    </row>
    <row r="20" spans="1:8" ht="32.1" customHeight="1" x14ac:dyDescent="0.25">
      <c r="A20" s="90"/>
      <c r="B20" s="80" t="s">
        <v>26</v>
      </c>
      <c r="C20" s="215"/>
      <c r="D20" s="80"/>
      <c r="E20" s="78"/>
      <c r="F20" s="78"/>
      <c r="G20" s="212"/>
      <c r="H20" s="214"/>
    </row>
    <row r="21" spans="1:8" ht="32.1" customHeight="1" x14ac:dyDescent="0.25">
      <c r="A21" s="90"/>
      <c r="B21" s="80" t="s">
        <v>31</v>
      </c>
      <c r="C21" s="215"/>
      <c r="D21" s="80"/>
      <c r="E21" s="78"/>
      <c r="F21" s="78"/>
      <c r="G21" s="212"/>
      <c r="H21" s="214"/>
    </row>
    <row r="22" spans="1:8" ht="32.1" customHeight="1" x14ac:dyDescent="0.25">
      <c r="A22" s="90"/>
      <c r="B22" s="80" t="s">
        <v>30</v>
      </c>
      <c r="C22" s="215"/>
      <c r="D22" s="80"/>
      <c r="E22" s="78"/>
      <c r="F22" s="78"/>
      <c r="G22" s="212"/>
      <c r="H22" s="214"/>
    </row>
    <row r="23" spans="1:8" ht="32.1" customHeight="1" thickBot="1" x14ac:dyDescent="0.3">
      <c r="A23" s="90"/>
      <c r="B23" s="80" t="s">
        <v>65</v>
      </c>
      <c r="C23" s="215"/>
      <c r="D23" s="80"/>
      <c r="E23" s="78"/>
      <c r="F23" s="78"/>
      <c r="G23" s="212"/>
      <c r="H23" s="214"/>
    </row>
    <row r="24" spans="1:8" ht="24.95" customHeight="1" x14ac:dyDescent="0.25">
      <c r="A24" s="43"/>
      <c r="B24" s="71" t="s">
        <v>34</v>
      </c>
      <c r="C24" s="216"/>
      <c r="D24" s="216"/>
      <c r="E24" s="216"/>
      <c r="F24" s="216"/>
      <c r="G24" s="216"/>
      <c r="H24" s="217"/>
    </row>
    <row r="25" spans="1:8" ht="24.95" customHeight="1" x14ac:dyDescent="0.25">
      <c r="A25" s="44"/>
      <c r="B25" s="72" t="s">
        <v>35</v>
      </c>
      <c r="C25" s="207"/>
      <c r="D25" s="207"/>
      <c r="E25" s="207"/>
      <c r="F25" s="207"/>
      <c r="G25" s="207"/>
      <c r="H25" s="208"/>
    </row>
    <row r="26" spans="1:8" ht="24.95" customHeight="1" x14ac:dyDescent="0.25">
      <c r="A26" s="44"/>
      <c r="B26" s="72" t="s">
        <v>36</v>
      </c>
      <c r="C26" s="207"/>
      <c r="D26" s="207"/>
      <c r="E26" s="207"/>
      <c r="F26" s="207"/>
      <c r="G26" s="207"/>
      <c r="H26" s="208"/>
    </row>
    <row r="27" spans="1:8" ht="24.95" customHeight="1" thickBot="1" x14ac:dyDescent="0.3">
      <c r="A27" s="45"/>
      <c r="B27" s="73" t="s">
        <v>37</v>
      </c>
      <c r="C27" s="204"/>
      <c r="D27" s="204"/>
      <c r="E27" s="204"/>
      <c r="F27" s="204"/>
      <c r="G27" s="204"/>
      <c r="H27" s="205"/>
    </row>
    <row r="28" spans="1:8" ht="24.95" customHeight="1" x14ac:dyDescent="0.25">
      <c r="B28" s="74" t="s">
        <v>81</v>
      </c>
    </row>
    <row r="29" spans="1:8" ht="24.95" customHeight="1" x14ac:dyDescent="0.25">
      <c r="B29" s="206" t="s">
        <v>38</v>
      </c>
      <c r="C29" s="206"/>
      <c r="D29" s="206"/>
      <c r="E29" s="206"/>
      <c r="F29" s="206"/>
      <c r="G29" s="206"/>
    </row>
    <row r="30" spans="1:8" ht="24.95" customHeight="1" x14ac:dyDescent="0.25">
      <c r="B30" s="206" t="s">
        <v>38</v>
      </c>
      <c r="C30" s="206"/>
      <c r="D30" s="206"/>
      <c r="E30" s="206"/>
      <c r="F30" s="206"/>
      <c r="G30" s="206"/>
    </row>
    <row r="31" spans="1:8" ht="24.95" customHeight="1" x14ac:dyDescent="0.25">
      <c r="F31" s="11" t="s">
        <v>48</v>
      </c>
    </row>
  </sheetData>
  <mergeCells count="27">
    <mergeCell ref="C26:H26"/>
    <mergeCell ref="C27:H27"/>
    <mergeCell ref="B29:G29"/>
    <mergeCell ref="B30:G30"/>
    <mergeCell ref="C19:C23"/>
    <mergeCell ref="G19:G23"/>
    <mergeCell ref="H19:H23"/>
    <mergeCell ref="C24:H24"/>
    <mergeCell ref="C25:H25"/>
    <mergeCell ref="C1:E1"/>
    <mergeCell ref="A2:A4"/>
    <mergeCell ref="C2:C4"/>
    <mergeCell ref="D2:D4"/>
    <mergeCell ref="E2:E4"/>
    <mergeCell ref="G2:H2"/>
    <mergeCell ref="G3:G4"/>
    <mergeCell ref="H3:H4"/>
    <mergeCell ref="C9:C12"/>
    <mergeCell ref="G9:G12"/>
    <mergeCell ref="H9:H12"/>
    <mergeCell ref="F2:F4"/>
    <mergeCell ref="C5:C8"/>
    <mergeCell ref="G5:G8"/>
    <mergeCell ref="H5:H8"/>
    <mergeCell ref="C13:C18"/>
    <mergeCell ref="G13:G18"/>
    <mergeCell ref="H13:H18"/>
  </mergeCells>
  <pageMargins left="0.51" right="0.37" top="0.25" bottom="0.24" header="0.2" footer="0.2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DANH SÁCH</vt:lpstr>
      <vt:lpstr>DANH SÁCH CHIA NHÓM</vt:lpstr>
      <vt:lpstr>BÌA THEO DÕI</vt:lpstr>
      <vt:lpstr>SỔ THEO DÕI</vt:lpstr>
      <vt:lpstr>SA HÌNH</vt:lpstr>
      <vt:lpstr>MẪU IN SA HÌNH</vt:lpstr>
      <vt:lpstr>MẪU IN ĐƯỜNG TRƯỜNG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Nghia Nguyen</cp:lastModifiedBy>
  <cp:lastPrinted>2025-08-29T07:59:12Z</cp:lastPrinted>
  <dcterms:created xsi:type="dcterms:W3CDTF">2023-06-15T01:31:49Z</dcterms:created>
  <dcterms:modified xsi:type="dcterms:W3CDTF">2025-08-29T08:10:52Z</dcterms:modified>
</cp:coreProperties>
</file>