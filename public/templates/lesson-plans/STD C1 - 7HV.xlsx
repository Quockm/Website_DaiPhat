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áo Án\GIÁO ÁN -TT14\"/>
    </mc:Choice>
  </mc:AlternateContent>
  <xr:revisionPtr revIDLastSave="0" documentId="13_ncr:1_{ABDB4E87-3263-4D66-A332-A071F1F6420A}" xr6:coauthVersionLast="47" xr6:coauthVersionMax="47" xr10:uidLastSave="{00000000-0000-0000-0000-000000000000}"/>
  <bookViews>
    <workbookView xWindow="-120" yWindow="-120" windowWidth="20730" windowHeight="11160" firstSheet="1" activeTab="4" xr2:uid="{979A2F57-653A-4BDD-93B1-8AB1790AB86A}"/>
  </bookViews>
  <sheets>
    <sheet name="danh sách 1" sheetId="23" r:id="rId1"/>
    <sheet name="DANH SÁCH" sheetId="16" r:id="rId2"/>
    <sheet name="BÌA" sheetId="17" r:id="rId3"/>
    <sheet name="SỔ THEO DÕI" sheetId="1" r:id="rId4"/>
    <sheet name="MẪU HÌNH" sheetId="22" r:id="rId5"/>
    <sheet name="Sheet1" sheetId="24" r:id="rId6"/>
    <sheet name="IN SA HÌNH" sheetId="19" r:id="rId7"/>
    <sheet name="DAT" sheetId="11" r:id="rId8"/>
  </sheets>
  <definedNames>
    <definedName name="_xlnm._FilterDatabase" localSheetId="0" hidden="1">'danh sách 1'!$A$1:$F$33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22" l="1"/>
  <c r="E29" i="22"/>
  <c r="H29" i="22"/>
  <c r="E25" i="22"/>
  <c r="H25" i="22"/>
  <c r="E20" i="22"/>
  <c r="H20" i="22"/>
  <c r="E12" i="22"/>
  <c r="H12" i="22"/>
  <c r="E8" i="22"/>
  <c r="N11" i="22"/>
  <c r="M11" i="22"/>
  <c r="H27" i="19" l="1"/>
  <c r="H21" i="19"/>
  <c r="E21" i="19"/>
  <c r="H14" i="19"/>
  <c r="E14" i="19"/>
  <c r="H8" i="19"/>
  <c r="E8" i="19"/>
  <c r="H5" i="19"/>
  <c r="H7" i="22"/>
  <c r="H6" i="22"/>
  <c r="E15" i="22"/>
  <c r="E9" i="22"/>
  <c r="E10" i="22"/>
  <c r="E11" i="22"/>
  <c r="E13" i="22"/>
  <c r="E14" i="22"/>
  <c r="E17" i="22"/>
  <c r="E18" i="22"/>
  <c r="E19" i="22"/>
  <c r="E21" i="22"/>
  <c r="E22" i="22"/>
  <c r="E24" i="22"/>
  <c r="E26" i="22"/>
  <c r="E27" i="22"/>
  <c r="E28" i="22"/>
  <c r="E30" i="22"/>
  <c r="E23" i="22"/>
  <c r="H10" i="22" l="1"/>
  <c r="H11" i="22"/>
  <c r="H13" i="22"/>
  <c r="H14" i="22"/>
  <c r="H18" i="22"/>
  <c r="H19" i="22"/>
  <c r="H21" i="22"/>
  <c r="H22" i="22"/>
  <c r="H26" i="22"/>
  <c r="H27" i="22"/>
  <c r="H28" i="22"/>
  <c r="H30" i="22"/>
  <c r="H34" i="22"/>
  <c r="H35" i="22"/>
  <c r="H37" i="22"/>
  <c r="H38" i="22"/>
  <c r="H39" i="22"/>
  <c r="H40" i="22"/>
  <c r="H41" i="22"/>
  <c r="H42" i="22"/>
  <c r="H43" i="22"/>
  <c r="H33" i="22"/>
  <c r="H32" i="22"/>
  <c r="H24" i="22"/>
  <c r="H23" i="22"/>
  <c r="E32" i="22" l="1"/>
  <c r="E33" i="22" s="1"/>
  <c r="E34" i="22" s="1"/>
  <c r="E35" i="22" s="1"/>
  <c r="H17" i="22"/>
  <c r="H9" i="22"/>
  <c r="A6" i="22"/>
  <c r="A9" i="22" s="1"/>
  <c r="A10" i="22" s="1"/>
  <c r="H31" i="22"/>
  <c r="H15" i="22"/>
  <c r="H8" i="22"/>
  <c r="H5" i="22"/>
  <c r="E37" i="22" l="1"/>
  <c r="E38" i="22" s="1"/>
  <c r="E39" i="22" s="1"/>
  <c r="E40" i="22" s="1"/>
  <c r="E41" i="22" s="1"/>
  <c r="E42" i="22" s="1"/>
  <c r="E43" i="22" s="1"/>
  <c r="E36" i="22"/>
  <c r="A11" i="22"/>
  <c r="A7" i="22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D119" i="1"/>
  <c r="C119" i="1"/>
  <c r="B119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D106" i="1"/>
  <c r="C106" i="1"/>
  <c r="B106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D93" i="1"/>
  <c r="C93" i="1"/>
  <c r="B93" i="1"/>
  <c r="B85" i="1"/>
  <c r="B81" i="1"/>
  <c r="C81" i="1"/>
  <c r="D81" i="1"/>
  <c r="B82" i="1"/>
  <c r="C82" i="1"/>
  <c r="D82" i="1"/>
  <c r="B83" i="1"/>
  <c r="C83" i="1"/>
  <c r="D83" i="1"/>
  <c r="B84" i="1"/>
  <c r="C84" i="1"/>
  <c r="D84" i="1"/>
  <c r="C85" i="1"/>
  <c r="D85" i="1"/>
  <c r="D80" i="1"/>
  <c r="C80" i="1"/>
  <c r="B80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D68" i="1"/>
  <c r="C68" i="1"/>
  <c r="B68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D56" i="1"/>
  <c r="C56" i="1"/>
  <c r="B56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44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2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0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7" i="1"/>
  <c r="A12" i="22" l="1"/>
  <c r="A13" i="22" s="1"/>
  <c r="A14" i="22" s="1"/>
  <c r="A17" i="22" s="1"/>
  <c r="A18" i="22" s="1"/>
  <c r="A19" i="22" s="1"/>
  <c r="A20" i="22" s="1"/>
  <c r="A21" i="22" s="1"/>
  <c r="A22" i="22" s="1"/>
  <c r="A24" i="22" s="1"/>
  <c r="A25" i="22" s="1"/>
  <c r="A26" i="22" s="1"/>
  <c r="A27" i="22" s="1"/>
  <c r="A28" i="22" s="1"/>
  <c r="A29" i="22" s="1"/>
  <c r="A30" i="22" s="1"/>
  <c r="A32" i="22" s="1"/>
  <c r="D44" i="1"/>
  <c r="C44" i="1"/>
  <c r="D32" i="1"/>
  <c r="C32" i="1"/>
  <c r="D20" i="1" l="1"/>
  <c r="C20" i="1"/>
  <c r="D7" i="1"/>
  <c r="C7" i="1"/>
  <c r="A33" i="22" l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</calcChain>
</file>

<file path=xl/sharedStrings.xml><?xml version="1.0" encoding="utf-8"?>
<sst xmlns="http://schemas.openxmlformats.org/spreadsheetml/2006/main" count="555" uniqueCount="283">
  <si>
    <t>DANH SÁCH HỌC VIÊN</t>
  </si>
  <si>
    <t>Xe:</t>
  </si>
  <si>
    <t>STT</t>
  </si>
  <si>
    <t>Họ và tên</t>
  </si>
  <si>
    <t>Ngày sinh</t>
  </si>
  <si>
    <t>Nơi cư trú</t>
  </si>
  <si>
    <t>Số km thực hành</t>
  </si>
  <si>
    <t>Điểm thi kiểm tra cuối khóa</t>
  </si>
  <si>
    <t>Học viên ký tên</t>
  </si>
  <si>
    <t>Từ ngày:</t>
  </si>
  <si>
    <t>đến ngày:</t>
  </si>
  <si>
    <t>…..................</t>
  </si>
  <si>
    <t>Ngày  tháng</t>
  </si>
  <si>
    <t>Nội dung bài giảng</t>
  </si>
  <si>
    <t>Địa điểm</t>
  </si>
  <si>
    <t>Số Km
thực hành</t>
  </si>
  <si>
    <t>Họ tên Hs vắng mặt</t>
  </si>
  <si>
    <t xml:space="preserve">Số nhiên
liệu sử 
dụng  </t>
  </si>
  <si>
    <t>Chữ ký</t>
  </si>
  <si>
    <t>có lý
do</t>
  </si>
  <si>
    <t>không có 
lý do</t>
  </si>
  <si>
    <t>Giáo Viên</t>
  </si>
  <si>
    <t>Sân tập lái</t>
  </si>
  <si>
    <t xml:space="preserve"> - Tập lái đúng phần đường quy định.</t>
  </si>
  <si>
    <t xml:space="preserve"> - Căn xe trên đường</t>
  </si>
  <si>
    <t xml:space="preserve"> - Tập lái trong hình số 3,8 ghép và hình chữ chi</t>
  </si>
  <si>
    <t xml:space="preserve"> - Tập lái theo đúng phần đường quy định</t>
  </si>
  <si>
    <t xml:space="preserve"> - Xử lý tình huống giao thông đơn giản</t>
  </si>
  <si>
    <t xml:space="preserve"> - Lái xe trong hình các bài thi sát hạch GV hướng dẫn</t>
  </si>
  <si>
    <t xml:space="preserve"> - Học viên độc lập lái xe trên sa hình</t>
  </si>
  <si>
    <t xml:space="preserve">                                       Hạng xe:</t>
  </si>
  <si>
    <t>…............</t>
  </si>
  <si>
    <t xml:space="preserve"> - Phương pháp dừng và xuất phát khi có tải trọng</t>
  </si>
  <si>
    <t xml:space="preserve"> - Di chuyển xe theo tốc độ quy định</t>
  </si>
  <si>
    <t xml:space="preserve"> - Qua ngã ba, ngã tư giao nhau,khu vực đường hẹp</t>
  </si>
  <si>
    <t xml:space="preserve"> - Tập lái xe căn lề trên đường, tập tắp lề</t>
  </si>
  <si>
    <t xml:space="preserve"> - Quan sát và xử lý khoảng cách an toàn</t>
  </si>
  <si>
    <t xml:space="preserve"> - Phải tập trung, quan sát đúng huớng khi lái</t>
  </si>
  <si>
    <t xml:space="preserve"> - Phải sử dụng đèn pha, cốt hợp lý</t>
  </si>
  <si>
    <t xml:space="preserve"> - Đảm bảo an toàn khi rẽ trái hoặc phải</t>
  </si>
  <si>
    <t xml:space="preserve"> - Ước lượng khoảng cách khi xe đi ngược chiều</t>
  </si>
  <si>
    <t xml:space="preserve"> - Đi đúng phần đường</t>
  </si>
  <si>
    <t xml:space="preserve">Số Giờ Thực
Hành </t>
  </si>
  <si>
    <t>Thi tốt nghiệp</t>
  </si>
  <si>
    <t>Ôn thi sát hạch</t>
  </si>
  <si>
    <t>Thi sát hạch</t>
  </si>
  <si>
    <t xml:space="preserve"> - Nhận xét của Giáo Viên : </t>
  </si>
  <si>
    <t>........................................................................................................................................................................................................</t>
  </si>
  <si>
    <t>Khóa : …..................................</t>
  </si>
  <si>
    <r>
      <rPr>
        <b/>
        <u/>
        <sz val="11"/>
        <color indexed="8"/>
        <rFont val="Times New Roman"/>
        <family val="1"/>
      </rPr>
      <t>Bài 1</t>
    </r>
    <r>
      <rPr>
        <b/>
        <sz val="11"/>
        <color indexed="8"/>
        <rFont val="Times New Roman"/>
        <family val="1"/>
      </rPr>
      <t>:Tập lái tại chỗ không nổ máy.</t>
    </r>
  </si>
  <si>
    <r>
      <rPr>
        <b/>
        <u/>
        <sz val="11"/>
        <color indexed="8"/>
        <rFont val="Times New Roman"/>
        <family val="1"/>
      </rPr>
      <t>Bài 3</t>
    </r>
    <r>
      <rPr>
        <b/>
        <sz val="11"/>
        <color indexed="8"/>
        <rFont val="Times New Roman"/>
        <family val="1"/>
      </rPr>
      <t>:Tập lái trong bãi phẳng .</t>
    </r>
  </si>
  <si>
    <t xml:space="preserve"> - Tiến và lùi trong hình chữ chi</t>
  </si>
  <si>
    <t xml:space="preserve"> - Thay đổi số trên đường thẳng</t>
  </si>
  <si>
    <t xml:space="preserve"> - Tập lái xe trong hinh số 8 và số 3</t>
  </si>
  <si>
    <t xml:space="preserve"> - Phải lau chùi kính xe và chiếu hậu khi kiếng bị mờ</t>
  </si>
  <si>
    <t xml:space="preserve"> - Tập đỗ xe và khởi hành </t>
  </si>
  <si>
    <t xml:space="preserve">Trưởng
Ban nghề </t>
  </si>
  <si>
    <r>
      <t>Tên HV</t>
    </r>
    <r>
      <rPr>
        <sz val="16"/>
        <color theme="1"/>
        <rFont val="Times New Roman"/>
        <family val="1"/>
      </rPr>
      <t>:....................................................................</t>
    </r>
  </si>
  <si>
    <r>
      <t>Ngày sinh</t>
    </r>
    <r>
      <rPr>
        <sz val="16"/>
        <color theme="1"/>
        <rFont val="Times New Roman"/>
        <family val="1"/>
      </rPr>
      <t>….........................</t>
    </r>
  </si>
  <si>
    <r>
      <rPr>
        <b/>
        <sz val="16"/>
        <color theme="1"/>
        <rFont val="Times New Roman"/>
        <family val="1"/>
      </rPr>
      <t>Xe</t>
    </r>
    <r>
      <rPr>
        <sz val="16"/>
        <color theme="1"/>
        <rFont val="Times New Roman"/>
        <family val="1"/>
      </rPr>
      <t>…........................</t>
    </r>
  </si>
  <si>
    <t>Giáo Viên Ký tên</t>
  </si>
  <si>
    <t>Nhóm</t>
  </si>
  <si>
    <t>Số CMND</t>
  </si>
  <si>
    <t>KHÓA</t>
  </si>
  <si>
    <t>GV</t>
  </si>
  <si>
    <t>Xe KH</t>
  </si>
  <si>
    <t>GVKH</t>
  </si>
  <si>
    <t>HẠNG</t>
  </si>
  <si>
    <t>TÊN KHÓA</t>
  </si>
  <si>
    <t>TRUNG TÂM GIÁO DỤC NGHỀ NGHIỆP TIẾN THÀNH</t>
  </si>
  <si>
    <t>SỔ THEO DÕI
THỰC HÀNH LÁI XE</t>
  </si>
  <si>
    <t>Họ và tên giáo viên:</t>
  </si>
  <si>
    <t>Mã khóa:</t>
  </si>
  <si>
    <t>Tên khóa:</t>
  </si>
  <si>
    <t xml:space="preserve"> Hạng: </t>
  </si>
  <si>
    <r>
      <rPr>
        <b/>
        <u/>
        <sz val="11"/>
        <color indexed="8"/>
        <rFont val="Times New Roman"/>
        <family val="1"/>
      </rPr>
      <t>Bài 2</t>
    </r>
    <r>
      <rPr>
        <b/>
        <sz val="11"/>
        <color indexed="8"/>
        <rFont val="Times New Roman"/>
        <family val="1"/>
      </rPr>
      <t>: Tập lái tại chỗ có nổ máy.</t>
    </r>
  </si>
  <si>
    <t xml:space="preserve"> - Tập lái xe trong sa hình, ghép dọc</t>
  </si>
  <si>
    <t xml:space="preserve"> - Dừng và đỗ xe đúng nơi quy định.</t>
  </si>
  <si>
    <t>….......................................................</t>
  </si>
  <si>
    <t>...................................</t>
  </si>
  <si>
    <t>….......</t>
  </si>
  <si>
    <t>…..............</t>
  </si>
  <si>
    <t xml:space="preserve">                                       Mã Khóa:</t>
  </si>
  <si>
    <t>…..............................................</t>
  </si>
  <si>
    <t>…...........................</t>
  </si>
  <si>
    <t>XE SỐ SÀN</t>
  </si>
  <si>
    <t>LÊ ANH THIỆN</t>
  </si>
  <si>
    <t>VŨ TIẾN YÊN</t>
  </si>
  <si>
    <t>CAO VĂN NAM</t>
  </si>
  <si>
    <t>NGUYỄN ĐÌNH HOÀI</t>
  </si>
  <si>
    <t>TRẦN HỮU PHƯỚC</t>
  </si>
  <si>
    <t>TĐ</t>
  </si>
  <si>
    <t>Năm 202….</t>
  </si>
  <si>
    <t>Số CMND/ HC</t>
  </si>
  <si>
    <t>Địa chỉ thường trú</t>
  </si>
  <si>
    <t>Hạn giấy phép xe tập lái</t>
  </si>
  <si>
    <t>61K-073.35</t>
  </si>
  <si>
    <t>51K381.17</t>
  </si>
  <si>
    <t>51H-463.82</t>
  </si>
  <si>
    <t>51K349.49</t>
  </si>
  <si>
    <t>51L-19770</t>
  </si>
  <si>
    <t>Trường Thành B X. Trường Khánh, H. Long Phú, T. Sóc Trăng</t>
  </si>
  <si>
    <t>01/01/1981</t>
  </si>
  <si>
    <t>ĐỖ MINH CẢNH</t>
  </si>
  <si>
    <t>20/12/1999</t>
  </si>
  <si>
    <t>093099002015</t>
  </si>
  <si>
    <t>Khu Vực An Hòa P. Bình Thạnh, TX. Long Mỹ, T. Hậu Giang</t>
  </si>
  <si>
    <t>NGUYỄN QUỐC DANH</t>
  </si>
  <si>
    <t>02/02/1992</t>
  </si>
  <si>
    <t>049092003428</t>
  </si>
  <si>
    <t>Thôn 6 X. Tiên Cảnh, H. Tiên Phước, T. Quảng Nam</t>
  </si>
  <si>
    <t>DƯƠNG QUANG ĐẠO</t>
  </si>
  <si>
    <t>19/08/2003</t>
  </si>
  <si>
    <t>042203000448</t>
  </si>
  <si>
    <t>X. Xuân Hải, H. Nghi Xuân, T. Hà Tĩnh</t>
  </si>
  <si>
    <t>ĐỖ VĂN ĐỆ</t>
  </si>
  <si>
    <t>01/01/1991</t>
  </si>
  <si>
    <t>094091007136</t>
  </si>
  <si>
    <t>Ấp An Trung A X. An Thạnh 1, H. Cù Lao Dung, T. Sóc Trăng</t>
  </si>
  <si>
    <t>NGUYỄN PHI DƯƠNG</t>
  </si>
  <si>
    <t>11/11/2003</t>
  </si>
  <si>
    <t>070203002817</t>
  </si>
  <si>
    <t>Tổ 1 Khu Phố 5 TT. Tân Khai, H. Hớn Quản, T. Bình Phước</t>
  </si>
  <si>
    <t>LĂNG VĂN DUY</t>
  </si>
  <si>
    <t>14/04/1995</t>
  </si>
  <si>
    <t>020095000329</t>
  </si>
  <si>
    <t>Thôn 11 X. Thống Nhất, H. Bù Đăng, T. Bình Phước</t>
  </si>
  <si>
    <t>NGUYỄN VĂN TRÚC EM</t>
  </si>
  <si>
    <t>082081014685</t>
  </si>
  <si>
    <t>Khu Phố 1 TT. Vàm Láng, H. Gò Công Đông, T. Tiền Giang</t>
  </si>
  <si>
    <t>VÕ MINH HIẾU</t>
  </si>
  <si>
    <t>26/01/1994</t>
  </si>
  <si>
    <t>080094007679</t>
  </si>
  <si>
    <t>Ấp Hòa Bình 2 TT. Hiệp Hòa, H. Đức Hòa, T. Long An</t>
  </si>
  <si>
    <t>TRẦN THANH KHẢI</t>
  </si>
  <si>
    <t>28/10/2003</t>
  </si>
  <si>
    <t>079203020508</t>
  </si>
  <si>
    <t>31/71/92A Ấp 4 X. Đông Thạnh, H. Hóc Môn, TP. Hồ Chí Minh</t>
  </si>
  <si>
    <t>NGUYỄN THÀNH KHANG</t>
  </si>
  <si>
    <t>10/11/2002</t>
  </si>
  <si>
    <t>082202008656</t>
  </si>
  <si>
    <t>148 Tổ 8 Khu 4 TT. Cái Bè, H. Cái Bè, T. Tiền Giang</t>
  </si>
  <si>
    <t>NGUYỄN VĂN LUÂN</t>
  </si>
  <si>
    <t>10/10/1998</t>
  </si>
  <si>
    <t>091098004975</t>
  </si>
  <si>
    <t>Tổ 08 Ấp Tiên Phong X. Vĩnh Tuy, H. Gò Quao, T. Kiên Giang</t>
  </si>
  <si>
    <t>PHẠM VĂN MẠNH</t>
  </si>
  <si>
    <t>20/02/1982</t>
  </si>
  <si>
    <t>038082019622</t>
  </si>
  <si>
    <t>Thôn Hoa Trường X. Hoa Lộc, H. Hậu Lộc, T. Thanh Hóa</t>
  </si>
  <si>
    <t>TRẦN CÔNG MINH</t>
  </si>
  <si>
    <t>29/03/1983</t>
  </si>
  <si>
    <t>089083023237</t>
  </si>
  <si>
    <t>Long Châu P. Long Châu, TX. Tân Châu, T. An Giang</t>
  </si>
  <si>
    <t>VÕ VĂN MINH</t>
  </si>
  <si>
    <t>29/12/1976</t>
  </si>
  <si>
    <t>093076008923</t>
  </si>
  <si>
    <t>Ấp 2 TT. Vĩnh Viễn, H. Long Mỹ, T. Hậu Giang</t>
  </si>
  <si>
    <t>HUỲNH TRUNG NGHĨA</t>
  </si>
  <si>
    <t>19/07/1996</t>
  </si>
  <si>
    <t>079096029243</t>
  </si>
  <si>
    <t>354 Tổ 15 Kp4 P. An Phú Đông, Q.12, TP. Hồ Chí Minh</t>
  </si>
  <si>
    <t>NGUYỄN HOÀNG NHẬT</t>
  </si>
  <si>
    <t>12/09/1998</t>
  </si>
  <si>
    <t>087098007715</t>
  </si>
  <si>
    <t>Ấp Tân Cường X. Phú Cường, H. Tam Nông, T. Đồng Tháp</t>
  </si>
  <si>
    <t>THẠCH SÀ PHOL</t>
  </si>
  <si>
    <t>01/01/1989</t>
  </si>
  <si>
    <t>094089018193</t>
  </si>
  <si>
    <t>HỒ VĂN PHÚC</t>
  </si>
  <si>
    <t>12/02/2003</t>
  </si>
  <si>
    <t>096203013170</t>
  </si>
  <si>
    <t>Khóm Tân Lập TT. Cái Nước, H. Cái Nước, T. Cà Mau</t>
  </si>
  <si>
    <t>NGÔ BÁ QUỐC</t>
  </si>
  <si>
    <t>13/05/1997</t>
  </si>
  <si>
    <t>079097008313</t>
  </si>
  <si>
    <t>192/51 Phú Thọ Hòa P. Phú Thọ Hòa, Q. Tân Phú, TP. Hồ Chí Minh</t>
  </si>
  <si>
    <t>LÝ PHƯỚC SANG</t>
  </si>
  <si>
    <t>24/12/1998</t>
  </si>
  <si>
    <t>072098009523</t>
  </si>
  <si>
    <t>Ấp An Thuận X. Phú An, TX. Bến Cát, T. Bình Dương</t>
  </si>
  <si>
    <t>TRẦN VĂN SANG</t>
  </si>
  <si>
    <t>20/08/1994</t>
  </si>
  <si>
    <t>051094009715</t>
  </si>
  <si>
    <t>X. Đức Phong, H. Mộ Đức, T. Quảng Ngãi</t>
  </si>
  <si>
    <t>HUỲNH THANH SƠN</t>
  </si>
  <si>
    <t>17/10/2003</t>
  </si>
  <si>
    <t>074203006096</t>
  </si>
  <si>
    <t>Ấp Bến Tranh X. Thanh An, H. Dầu Tiếng, T. Bình Dương</t>
  </si>
  <si>
    <t>NGUYỄN MINH SƠN</t>
  </si>
  <si>
    <t>24/10/1985</t>
  </si>
  <si>
    <t>080085017255</t>
  </si>
  <si>
    <t>Số 288 Ấp 02 X. Long Khê, H. Cần Đước, T. Long An</t>
  </si>
  <si>
    <t>PHẠM QUYẾT THẮNG</t>
  </si>
  <si>
    <t>27/06/2001</t>
  </si>
  <si>
    <t>036201006310</t>
  </si>
  <si>
    <t>58/9 Đường 11 Kp5 P. Linh Xuân, TP. Thủ Đức, TP. Hồ Chí Minh</t>
  </si>
  <si>
    <t>HUỲNH CÔNG THANH</t>
  </si>
  <si>
    <t>01/01/1971</t>
  </si>
  <si>
    <t>072071001069</t>
  </si>
  <si>
    <t>Ấp Lộc Thuận X. Lộc Ninh, H. Dương Minh Châu, T. Tây Ninh</t>
  </si>
  <si>
    <t>NGUYỄN VĂN THẢO</t>
  </si>
  <si>
    <t>01/01/1978</t>
  </si>
  <si>
    <t>082078025480</t>
  </si>
  <si>
    <t>Kp Hòa Thơm 2 TT. Tân Hòa, H. Gò Công Đông, T. Tiền Giang</t>
  </si>
  <si>
    <t>HỒ CÔNG THIỆN</t>
  </si>
  <si>
    <t>25/03/2003</t>
  </si>
  <si>
    <t>082203017712</t>
  </si>
  <si>
    <t>Ấp Tân Phú X. Tân Thành, H. Gò Công Đông, T. Tiền Giang</t>
  </si>
  <si>
    <t>NGUYỄN PHÚ THỌ</t>
  </si>
  <si>
    <t>15/02/2000</t>
  </si>
  <si>
    <t>096200000972</t>
  </si>
  <si>
    <t>Tân Thành Lập X. Tân Đức, H. Đầm Dơi, T. Cà Mau</t>
  </si>
  <si>
    <t>NGUYỄN ĐỨC TOÀN</t>
  </si>
  <si>
    <t>15/05/1990</t>
  </si>
  <si>
    <t>079090036932</t>
  </si>
  <si>
    <t>Tổ 4 Cây Chàm P. Thạnh Phước, TX. Tân Uyên, T. Bình Dương</t>
  </si>
  <si>
    <t>TRƯƠNG MINH TRÍ</t>
  </si>
  <si>
    <t>21/10/2003</t>
  </si>
  <si>
    <t>082203018440</t>
  </si>
  <si>
    <t>Ấp 3 X. An Thái Trung, H. Cái Bè, T. Tiền Giang</t>
  </si>
  <si>
    <t>TRẦN MINH TUẤN</t>
  </si>
  <si>
    <t>10/10/1987</t>
  </si>
  <si>
    <t>020087007225</t>
  </si>
  <si>
    <t>Thôn 03 X. Tân Hòa, H. Buôn Đôn, T. Đắk Lắk</t>
  </si>
  <si>
    <t>LÊ THANH VÂN</t>
  </si>
  <si>
    <t>19/02/1984</t>
  </si>
  <si>
    <t>074184002338</t>
  </si>
  <si>
    <t>Ấp Thanh Tân X. Thanh An, H. Dầu Tiếng, T. Bình Dương</t>
  </si>
  <si>
    <t>LỢI(H)</t>
  </si>
  <si>
    <t>LINH</t>
  </si>
  <si>
    <t>C LAN (LINH)</t>
  </si>
  <si>
    <t>HUY TN</t>
  </si>
  <si>
    <t>C LAN( A THẮNG)</t>
  </si>
  <si>
    <t>LỢI</t>
  </si>
  <si>
    <t>PHONG LIÊN</t>
  </si>
  <si>
    <t>HOA VP</t>
  </si>
  <si>
    <t>DỰ</t>
  </si>
  <si>
    <t>HÀ A1</t>
  </si>
  <si>
    <t>KHÊ</t>
  </si>
  <si>
    <t>LUẬT</t>
  </si>
  <si>
    <t>QUÍ BD</t>
  </si>
  <si>
    <t>Q TRUNG</t>
  </si>
  <si>
    <t>THOA</t>
  </si>
  <si>
    <t>C1</t>
  </si>
  <si>
    <t>K</t>
  </si>
  <si>
    <t>Họ và tên giáo viên số tự động:</t>
  </si>
  <si>
    <t>Biển số xe tập lái số sàn:</t>
  </si>
  <si>
    <t>Biển số xe tập lái số tự động:</t>
  </si>
  <si>
    <t>sa hình</t>
  </si>
  <si>
    <t>(Thực hành hạng C1)</t>
  </si>
  <si>
    <t>Ngoài đường</t>
  </si>
  <si>
    <t xml:space="preserve">Ngoài đường
</t>
  </si>
  <si>
    <t xml:space="preserve"> - Tốc độ phù hợp, chuyển số phù hợp</t>
  </si>
  <si>
    <t xml:space="preserve"> - Đảm bảo an toàn khi vào và ra cao tốc</t>
  </si>
  <si>
    <t>Ngoài đường
STĐ</t>
  </si>
  <si>
    <t>Bài 1:Tập lái tại chỗ không nổ máy.</t>
  </si>
  <si>
    <t>Bài 2: Tập lái tại chỗ có nổ máy.</t>
  </si>
  <si>
    <t>Bài 3:Tập lái trong bãi phẳng .</t>
  </si>
  <si>
    <r>
      <rPr>
        <b/>
        <u/>
        <sz val="11"/>
        <color indexed="8"/>
        <rFont val="Times New Roman"/>
        <family val="1"/>
      </rPr>
      <t>Bài 4</t>
    </r>
    <r>
      <rPr>
        <b/>
        <sz val="11"/>
        <color indexed="8"/>
        <rFont val="Times New Roman"/>
        <family val="1"/>
      </rPr>
      <t xml:space="preserve">: Tập lái trong hình số 3 và số 8 ghép, tiến, lùi hình chữ chi </t>
    </r>
  </si>
  <si>
    <t xml:space="preserve">Bài 4: Tập lái trong hình số 3 và số 8 ghép, tiến, lùi hình chữ chi </t>
  </si>
  <si>
    <t>Bài 5: Tập lái trên đường bằng</t>
  </si>
  <si>
    <t>Bài 6: Bài tập lái xe tổng hợp</t>
  </si>
  <si>
    <t>1hv/xe (giờ)</t>
  </si>
  <si>
    <t>Hạng C1</t>
  </si>
  <si>
    <t>Bài 7: Tập lái trên đường cao tốc và cao tốc phân kỳ đầu tư</t>
  </si>
  <si>
    <t xml:space="preserve">Bài 8: Tập lái xe trên đường dốc, đường vòng quanh co </t>
  </si>
  <si>
    <t>Bài 9: Tập lái trên đường phức tạp</t>
  </si>
  <si>
    <t>Bài 12: Tập lái trên đường với xe ô tô số tự động</t>
  </si>
  <si>
    <t>Bài 10: Tập lái ban đêm</t>
  </si>
  <si>
    <t>Bài 11: Tập lái xe có tải</t>
  </si>
  <si>
    <r>
      <rPr>
        <b/>
        <u/>
        <sz val="11"/>
        <color indexed="8"/>
        <rFont val="Times New Roman"/>
        <family val="1"/>
      </rPr>
      <t>Bài 5</t>
    </r>
    <r>
      <rPr>
        <b/>
        <sz val="11"/>
        <color indexed="8"/>
        <rFont val="Times New Roman"/>
        <family val="1"/>
      </rPr>
      <t>: Tập lái trên đường bằng</t>
    </r>
  </si>
  <si>
    <r>
      <rPr>
        <b/>
        <u/>
        <sz val="11"/>
        <color theme="1"/>
        <rFont val="Times New Roman"/>
        <family val="1"/>
      </rPr>
      <t>Bài 6:</t>
    </r>
    <r>
      <rPr>
        <b/>
        <sz val="11"/>
        <color theme="1"/>
        <rFont val="Times New Roman"/>
        <family val="1"/>
      </rPr>
      <t xml:space="preserve"> Bài tập lái xe tổng hợp</t>
    </r>
  </si>
  <si>
    <t>Trưởng Ban nghề</t>
  </si>
  <si>
    <t xml:space="preserve"> - Phương pháp lái xe lên - xuống dốc </t>
  </si>
  <si>
    <t xml:space="preserve"> - Phán đoán, xử trí và thực hiện các biện pháp an toàn</t>
  </si>
  <si>
    <t xml:space="preserve"> - Tập lái qua khu vực đông xe qua lại</t>
  </si>
  <si>
    <t>7hv/xe (giờ)</t>
  </si>
  <si>
    <t>GIỜ/7HV/1XE</t>
  </si>
  <si>
    <t>KM/7HV/1XE</t>
  </si>
  <si>
    <t>TỔNG</t>
  </si>
  <si>
    <r>
      <rPr>
        <b/>
        <sz val="11"/>
        <color theme="1"/>
        <rFont val="Times New Roman"/>
        <family val="1"/>
      </rPr>
      <t>ĐƯỜNG</t>
    </r>
    <r>
      <rPr>
        <sz val="11"/>
        <color theme="1"/>
        <rFont val="Times New Roman"/>
        <family val="1"/>
      </rPr>
      <t xml:space="preserve">
48 giờ/1hv
336 giờ/7hv</t>
    </r>
  </si>
  <si>
    <r>
      <rPr>
        <b/>
        <sz val="11"/>
        <color theme="1"/>
        <rFont val="Times New Roman"/>
        <family val="1"/>
      </rPr>
      <t>SA HÌNH</t>
    </r>
    <r>
      <rPr>
        <sz val="11"/>
        <color theme="1"/>
        <rFont val="Times New Roman"/>
        <family val="1"/>
      </rPr>
      <t xml:space="preserve">
43 giờ/1hv
301 giờ/7hv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</si>
</sst>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indexed="8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name val="Times New Roman"/>
      <family val="1"/>
    </font>
    <font>
      <b/>
      <u/>
      <sz val="11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u/>
      <sz val="11"/>
      <color theme="1"/>
      <name val="Times New Roman"/>
      <family val="1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5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7" fillId="0" borderId="0"/>
    <xf numFmtId="0" fontId="30" fillId="0" borderId="0"/>
    <xf numFmtId="0" fontId="27" fillId="0" borderId="0"/>
  </cellStyleXfs>
  <cellXfs count="28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9" fillId="0" borderId="0" xfId="0" applyFont="1"/>
    <xf numFmtId="164" fontId="8" fillId="0" borderId="1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4" fontId="7" fillId="0" borderId="21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4" fontId="7" fillId="0" borderId="26" xfId="0" applyNumberFormat="1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17" fillId="0" borderId="0" xfId="0" applyFont="1"/>
    <xf numFmtId="0" fontId="1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9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vertical="center"/>
    </xf>
    <xf numFmtId="0" fontId="20" fillId="0" borderId="0" xfId="0" applyFont="1" applyAlignment="1">
      <alignment horizontal="left"/>
    </xf>
    <xf numFmtId="0" fontId="19" fillId="0" borderId="0" xfId="0" applyFont="1"/>
    <xf numFmtId="0" fontId="18" fillId="0" borderId="6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4" fontId="19" fillId="0" borderId="21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9" fillId="0" borderId="6" xfId="0" applyNumberFormat="1" applyFont="1" applyBorder="1" applyAlignment="1">
      <alignment horizontal="center" vertical="center"/>
    </xf>
    <xf numFmtId="0" fontId="19" fillId="0" borderId="6" xfId="0" applyFont="1" applyBorder="1" applyAlignment="1" applyProtection="1">
      <alignment horizontal="center" vertical="center"/>
      <protection locked="0"/>
    </xf>
    <xf numFmtId="14" fontId="19" fillId="0" borderId="26" xfId="0" applyNumberFormat="1" applyFont="1" applyBorder="1" applyAlignment="1">
      <alignment horizontal="right" vertical="center"/>
    </xf>
    <xf numFmtId="14" fontId="19" fillId="0" borderId="27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9" fillId="0" borderId="6" xfId="0" applyFont="1" applyBorder="1" applyAlignment="1">
      <alignment horizontal="center" vertical="center"/>
    </xf>
    <xf numFmtId="0" fontId="19" fillId="0" borderId="12" xfId="0" applyFont="1" applyBorder="1" applyAlignment="1" applyProtection="1">
      <alignment horizontal="center" vertical="center"/>
      <protection locked="0"/>
    </xf>
    <xf numFmtId="14" fontId="1" fillId="0" borderId="21" xfId="0" applyNumberFormat="1" applyFont="1" applyBorder="1" applyAlignment="1">
      <alignment horizontal="right" vertical="center"/>
    </xf>
    <xf numFmtId="14" fontId="1" fillId="0" borderId="26" xfId="0" applyNumberFormat="1" applyFont="1" applyBorder="1" applyAlignment="1">
      <alignment horizontal="right" vertical="center"/>
    </xf>
    <xf numFmtId="14" fontId="19" fillId="0" borderId="8" xfId="0" applyNumberFormat="1" applyFont="1" applyBorder="1" applyAlignment="1">
      <alignment horizontal="right" vertical="center"/>
    </xf>
    <xf numFmtId="14" fontId="19" fillId="0" borderId="10" xfId="0" applyNumberFormat="1" applyFont="1" applyBorder="1" applyAlignment="1">
      <alignment horizontal="right" vertical="center"/>
    </xf>
    <xf numFmtId="0" fontId="21" fillId="0" borderId="0" xfId="0" applyFont="1" applyAlignment="1">
      <alignment horizontal="left"/>
    </xf>
    <xf numFmtId="0" fontId="22" fillId="0" borderId="0" xfId="0" applyFont="1"/>
    <xf numFmtId="0" fontId="23" fillId="0" borderId="0" xfId="0" applyFont="1"/>
    <xf numFmtId="0" fontId="13" fillId="0" borderId="0" xfId="0" applyFont="1" applyAlignment="1">
      <alignment horizontal="left" vertical="center"/>
    </xf>
    <xf numFmtId="0" fontId="1" fillId="0" borderId="1" xfId="0" applyFont="1" applyBorder="1"/>
    <xf numFmtId="0" fontId="1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wrapText="1"/>
    </xf>
    <xf numFmtId="0" fontId="9" fillId="0" borderId="31" xfId="0" applyFont="1" applyBorder="1"/>
    <xf numFmtId="0" fontId="9" fillId="0" borderId="32" xfId="0" applyFont="1" applyBorder="1"/>
    <xf numFmtId="0" fontId="9" fillId="0" borderId="33" xfId="0" applyFont="1" applyBorder="1"/>
    <xf numFmtId="0" fontId="9" fillId="0" borderId="34" xfId="0" applyFont="1" applyBorder="1"/>
    <xf numFmtId="0" fontId="9" fillId="0" borderId="30" xfId="0" applyFont="1" applyBorder="1"/>
    <xf numFmtId="0" fontId="9" fillId="0" borderId="35" xfId="0" applyFont="1" applyBorder="1"/>
    <xf numFmtId="0" fontId="9" fillId="0" borderId="29" xfId="0" applyFont="1" applyBorder="1"/>
    <xf numFmtId="0" fontId="9" fillId="0" borderId="36" xfId="0" applyFont="1" applyBorder="1"/>
    <xf numFmtId="0" fontId="21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1" fillId="0" borderId="34" xfId="0" applyFont="1" applyBorder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14" fontId="7" fillId="0" borderId="28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/>
    </xf>
    <xf numFmtId="14" fontId="7" fillId="0" borderId="40" xfId="0" applyNumberFormat="1" applyFont="1" applyBorder="1" applyAlignment="1">
      <alignment vertical="center"/>
    </xf>
    <xf numFmtId="0" fontId="9" fillId="0" borderId="3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4" fontId="7" fillId="0" borderId="28" xfId="0" applyNumberFormat="1" applyFont="1" applyBorder="1" applyAlignment="1">
      <alignment vertical="center"/>
    </xf>
    <xf numFmtId="0" fontId="1" fillId="0" borderId="43" xfId="0" applyFont="1" applyBorder="1"/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28" fillId="0" borderId="0" xfId="0" applyFont="1"/>
    <xf numFmtId="49" fontId="28" fillId="0" borderId="0" xfId="0" applyNumberFormat="1" applyFont="1"/>
    <xf numFmtId="0" fontId="28" fillId="0" borderId="0" xfId="0" applyFont="1" applyAlignment="1">
      <alignment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49" fontId="29" fillId="0" borderId="25" xfId="0" applyNumberFormat="1" applyFont="1" applyBorder="1" applyAlignment="1">
      <alignment horizontal="center" vertical="center"/>
    </xf>
    <xf numFmtId="0" fontId="28" fillId="0" borderId="6" xfId="0" applyFont="1" applyBorder="1"/>
    <xf numFmtId="14" fontId="28" fillId="0" borderId="6" xfId="0" applyNumberFormat="1" applyFont="1" applyBorder="1"/>
    <xf numFmtId="49" fontId="28" fillId="0" borderId="6" xfId="0" applyNumberFormat="1" applyFont="1" applyBorder="1"/>
    <xf numFmtId="0" fontId="28" fillId="0" borderId="15" xfId="0" applyFont="1" applyBorder="1"/>
    <xf numFmtId="0" fontId="28" fillId="0" borderId="37" xfId="0" applyFont="1" applyBorder="1"/>
    <xf numFmtId="14" fontId="28" fillId="0" borderId="37" xfId="0" applyNumberFormat="1" applyFont="1" applyBorder="1"/>
    <xf numFmtId="49" fontId="28" fillId="0" borderId="37" xfId="0" applyNumberFormat="1" applyFont="1" applyBorder="1"/>
    <xf numFmtId="0" fontId="28" fillId="0" borderId="38" xfId="0" applyFont="1" applyBorder="1"/>
    <xf numFmtId="0" fontId="28" fillId="0" borderId="1" xfId="0" applyFont="1" applyBorder="1"/>
    <xf numFmtId="14" fontId="28" fillId="0" borderId="1" xfId="0" applyNumberFormat="1" applyFont="1" applyBorder="1"/>
    <xf numFmtId="49" fontId="28" fillId="0" borderId="1" xfId="0" applyNumberFormat="1" applyFont="1" applyBorder="1"/>
    <xf numFmtId="0" fontId="28" fillId="0" borderId="17" xfId="0" applyFont="1" applyBorder="1"/>
    <xf numFmtId="0" fontId="28" fillId="0" borderId="12" xfId="0" applyFont="1" applyBorder="1"/>
    <xf numFmtId="14" fontId="28" fillId="0" borderId="12" xfId="0" applyNumberFormat="1" applyFont="1" applyBorder="1"/>
    <xf numFmtId="49" fontId="28" fillId="0" borderId="12" xfId="0" applyNumberFormat="1" applyFont="1" applyBorder="1"/>
    <xf numFmtId="0" fontId="28" fillId="0" borderId="20" xfId="0" applyFont="1" applyBorder="1"/>
    <xf numFmtId="0" fontId="2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applyFont="1" applyBorder="1"/>
    <xf numFmtId="14" fontId="15" fillId="0" borderId="1" xfId="0" applyNumberFormat="1" applyFont="1" applyBorder="1" applyAlignment="1">
      <alignment horizontal="center" vertical="center" wrapText="1"/>
    </xf>
    <xf numFmtId="14" fontId="1" fillId="0" borderId="1" xfId="2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3" fillId="0" borderId="25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/>
    <xf numFmtId="14" fontId="9" fillId="0" borderId="1" xfId="0" applyNumberFormat="1" applyFont="1" applyBorder="1"/>
    <xf numFmtId="14" fontId="8" fillId="0" borderId="1" xfId="0" applyNumberFormat="1" applyFont="1" applyBorder="1"/>
    <xf numFmtId="0" fontId="9" fillId="2" borderId="1" xfId="0" applyFont="1" applyFill="1" applyBorder="1"/>
    <xf numFmtId="14" fontId="9" fillId="2" borderId="1" xfId="0" applyNumberFormat="1" applyFont="1" applyFill="1" applyBorder="1"/>
    <xf numFmtId="0" fontId="8" fillId="2" borderId="1" xfId="0" applyFont="1" applyFill="1" applyBorder="1"/>
    <xf numFmtId="14" fontId="8" fillId="2" borderId="1" xfId="0" applyNumberFormat="1" applyFont="1" applyFill="1" applyBorder="1"/>
    <xf numFmtId="0" fontId="8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19" fillId="0" borderId="40" xfId="0" applyNumberFormat="1" applyFont="1" applyBorder="1" applyAlignment="1">
      <alignment horizontal="right" vertical="center"/>
    </xf>
    <xf numFmtId="0" fontId="1" fillId="0" borderId="37" xfId="0" applyFont="1" applyBorder="1" applyAlignment="1">
      <alignment vertical="center"/>
    </xf>
    <xf numFmtId="164" fontId="19" fillId="0" borderId="37" xfId="0" applyNumberFormat="1" applyFont="1" applyBorder="1" applyAlignment="1">
      <alignment horizontal="center" vertical="center"/>
    </xf>
    <xf numFmtId="0" fontId="19" fillId="0" borderId="37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/>
    </xf>
    <xf numFmtId="14" fontId="7" fillId="0" borderId="27" xfId="0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right" vertical="center"/>
    </xf>
    <xf numFmtId="0" fontId="8" fillId="0" borderId="6" xfId="0" applyFont="1" applyBorder="1" applyAlignment="1" applyProtection="1">
      <alignment horizontal="center" vertical="center"/>
      <protection locked="0"/>
    </xf>
    <xf numFmtId="14" fontId="8" fillId="0" borderId="40" xfId="0" applyNumberFormat="1" applyFont="1" applyBorder="1" applyAlignment="1">
      <alignment horizontal="right" vertical="center"/>
    </xf>
    <xf numFmtId="1" fontId="8" fillId="0" borderId="37" xfId="0" applyNumberFormat="1" applyFont="1" applyBorder="1" applyAlignment="1">
      <alignment horizontal="center" vertical="center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14" fontId="8" fillId="0" borderId="27" xfId="0" applyNumberFormat="1" applyFont="1" applyBorder="1" applyAlignment="1">
      <alignment horizontal="right" vertical="center"/>
    </xf>
    <xf numFmtId="1" fontId="8" fillId="0" borderId="6" xfId="0" applyNumberFormat="1" applyFont="1" applyBorder="1" applyAlignment="1">
      <alignment horizontal="center" vertical="center"/>
    </xf>
    <xf numFmtId="14" fontId="7" fillId="0" borderId="39" xfId="0" applyNumberFormat="1" applyFont="1" applyBorder="1" applyAlignment="1">
      <alignment horizontal="center" vertical="center"/>
    </xf>
    <xf numFmtId="14" fontId="7" fillId="0" borderId="45" xfId="0" applyNumberFormat="1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4" fontId="7" fillId="0" borderId="10" xfId="0" applyNumberFormat="1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14" fontId="7" fillId="0" borderId="24" xfId="0" applyNumberFormat="1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8" fillId="0" borderId="25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14" fontId="1" fillId="0" borderId="27" xfId="0" applyNumberFormat="1" applyFont="1" applyBorder="1" applyAlignment="1">
      <alignment horizontal="right" vertical="center"/>
    </xf>
    <xf numFmtId="14" fontId="19" fillId="0" borderId="28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wrapText="1"/>
    </xf>
    <xf numFmtId="0" fontId="1" fillId="0" borderId="23" xfId="0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49" fontId="22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wrapText="1"/>
    </xf>
    <xf numFmtId="0" fontId="22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14" fontId="7" fillId="0" borderId="22" xfId="0" applyNumberFormat="1" applyFont="1" applyBorder="1" applyAlignment="1">
      <alignment horizontal="center" vertical="center"/>
    </xf>
    <xf numFmtId="14" fontId="7" fillId="0" borderId="2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9" fillId="0" borderId="5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7" fillId="0" borderId="37" xfId="0" applyFont="1" applyBorder="1" applyAlignment="1">
      <alignment horizontal="center"/>
    </xf>
    <xf numFmtId="0" fontId="17" fillId="0" borderId="38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7" fillId="0" borderId="21" xfId="0" applyNumberFormat="1" applyFont="1" applyBorder="1" applyAlignment="1">
      <alignment horizontal="right" vertical="center"/>
    </xf>
    <xf numFmtId="14" fontId="7" fillId="0" borderId="40" xfId="0" applyNumberFormat="1" applyFont="1" applyBorder="1" applyAlignment="1">
      <alignment horizontal="right" vertical="center"/>
    </xf>
    <xf numFmtId="14" fontId="0" fillId="0" borderId="0" xfId="0" applyNumberFormat="1"/>
  </cellXfs>
  <cellStyles count="4">
    <cellStyle name="Normal" xfId="0" builtinId="0"/>
    <cellStyle name="Normal 2" xfId="1" xr:uid="{7184AD4D-8A9A-458B-BFE2-D8426D8FAADC}"/>
    <cellStyle name="Normal 2 2 2 2" xfId="3" xr:uid="{3DB94168-527F-4F49-860B-50102D65EB03}"/>
    <cellStyle name="Normal 3" xfId="2" xr:uid="{66563A03-BB8D-4C56-91A5-D06316485EB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FABB-5C5B-442A-9950-79294F53E48A}">
  <dimension ref="A1:F33"/>
  <sheetViews>
    <sheetView topLeftCell="A10" zoomScale="85" zoomScaleNormal="85" workbookViewId="0">
      <selection activeCell="D56" sqref="D56"/>
    </sheetView>
  </sheetViews>
  <sheetFormatPr defaultRowHeight="15" x14ac:dyDescent="0.25"/>
  <cols>
    <col min="1" max="1" width="4.5703125" bestFit="1" customWidth="1"/>
    <col min="2" max="2" width="23.85546875" bestFit="1" customWidth="1"/>
    <col min="3" max="3" width="10.140625" bestFit="1" customWidth="1"/>
    <col min="4" max="4" width="13.28515625" bestFit="1" customWidth="1"/>
    <col min="5" max="5" width="63.42578125" bestFit="1" customWidth="1"/>
    <col min="6" max="6" width="16.5703125" bestFit="1" customWidth="1"/>
  </cols>
  <sheetData>
    <row r="1" spans="1:6" x14ac:dyDescent="0.25">
      <c r="A1" s="122" t="s">
        <v>2</v>
      </c>
      <c r="B1" s="122" t="s">
        <v>3</v>
      </c>
      <c r="C1" s="122" t="s">
        <v>4</v>
      </c>
      <c r="D1" s="122" t="s">
        <v>93</v>
      </c>
      <c r="E1" s="122" t="s">
        <v>94</v>
      </c>
      <c r="F1" s="122" t="s">
        <v>64</v>
      </c>
    </row>
    <row r="2" spans="1:6" x14ac:dyDescent="0.25">
      <c r="A2" s="123">
        <v>1</v>
      </c>
      <c r="B2" s="126" t="s">
        <v>115</v>
      </c>
      <c r="C2" s="127" t="s">
        <v>116</v>
      </c>
      <c r="D2" s="126" t="s">
        <v>117</v>
      </c>
      <c r="E2" s="126" t="s">
        <v>118</v>
      </c>
      <c r="F2" s="128" t="s">
        <v>231</v>
      </c>
    </row>
    <row r="3" spans="1:6" x14ac:dyDescent="0.25">
      <c r="A3" s="123">
        <v>2</v>
      </c>
      <c r="B3" s="126" t="s">
        <v>138</v>
      </c>
      <c r="C3" s="127" t="s">
        <v>139</v>
      </c>
      <c r="D3" s="126" t="s">
        <v>140</v>
      </c>
      <c r="E3" s="126" t="s">
        <v>141</v>
      </c>
      <c r="F3" s="128" t="s">
        <v>231</v>
      </c>
    </row>
    <row r="4" spans="1:6" x14ac:dyDescent="0.25">
      <c r="A4" s="123">
        <v>3</v>
      </c>
      <c r="B4" s="126" t="s">
        <v>189</v>
      </c>
      <c r="C4" s="127" t="s">
        <v>190</v>
      </c>
      <c r="D4" s="126" t="s">
        <v>191</v>
      </c>
      <c r="E4" s="126" t="s">
        <v>192</v>
      </c>
      <c r="F4" s="128" t="s">
        <v>231</v>
      </c>
    </row>
    <row r="5" spans="1:6" x14ac:dyDescent="0.25">
      <c r="A5" s="123">
        <v>4</v>
      </c>
      <c r="B5" s="126" t="s">
        <v>209</v>
      </c>
      <c r="C5" s="127" t="s">
        <v>210</v>
      </c>
      <c r="D5" s="126" t="s">
        <v>211</v>
      </c>
      <c r="E5" s="126" t="s">
        <v>212</v>
      </c>
      <c r="F5" s="128" t="s">
        <v>231</v>
      </c>
    </row>
    <row r="6" spans="1:6" x14ac:dyDescent="0.25">
      <c r="A6" s="123">
        <v>5</v>
      </c>
      <c r="B6" s="126" t="s">
        <v>150</v>
      </c>
      <c r="C6" s="127" t="s">
        <v>151</v>
      </c>
      <c r="D6" s="126" t="s">
        <v>152</v>
      </c>
      <c r="E6" s="126" t="s">
        <v>153</v>
      </c>
      <c r="F6" s="128" t="s">
        <v>233</v>
      </c>
    </row>
    <row r="7" spans="1:6" x14ac:dyDescent="0.25">
      <c r="A7" s="123">
        <v>6</v>
      </c>
      <c r="B7" s="126" t="s">
        <v>154</v>
      </c>
      <c r="C7" s="127" t="s">
        <v>155</v>
      </c>
      <c r="D7" s="126" t="s">
        <v>156</v>
      </c>
      <c r="E7" s="126" t="s">
        <v>157</v>
      </c>
      <c r="F7" s="128" t="s">
        <v>237</v>
      </c>
    </row>
    <row r="8" spans="1:6" x14ac:dyDescent="0.25">
      <c r="A8" s="123">
        <v>7</v>
      </c>
      <c r="B8" s="126" t="s">
        <v>185</v>
      </c>
      <c r="C8" s="127" t="s">
        <v>186</v>
      </c>
      <c r="D8" s="126" t="s">
        <v>187</v>
      </c>
      <c r="E8" s="126" t="s">
        <v>188</v>
      </c>
      <c r="F8" s="128" t="s">
        <v>237</v>
      </c>
    </row>
    <row r="9" spans="1:6" x14ac:dyDescent="0.25">
      <c r="A9" s="123">
        <v>8</v>
      </c>
      <c r="B9" s="126" t="s">
        <v>225</v>
      </c>
      <c r="C9" s="127" t="s">
        <v>226</v>
      </c>
      <c r="D9" s="126" t="s">
        <v>227</v>
      </c>
      <c r="E9" s="126" t="s">
        <v>228</v>
      </c>
      <c r="F9" s="128" t="s">
        <v>237</v>
      </c>
    </row>
    <row r="10" spans="1:6" x14ac:dyDescent="0.25">
      <c r="A10" s="123">
        <v>9</v>
      </c>
      <c r="B10" s="126" t="s">
        <v>177</v>
      </c>
      <c r="C10" s="127" t="s">
        <v>178</v>
      </c>
      <c r="D10" s="126" t="s">
        <v>179</v>
      </c>
      <c r="E10" s="126" t="s">
        <v>180</v>
      </c>
      <c r="F10" s="128" t="s">
        <v>238</v>
      </c>
    </row>
    <row r="11" spans="1:6" x14ac:dyDescent="0.25">
      <c r="A11" s="123">
        <v>10</v>
      </c>
      <c r="B11" s="114" t="s">
        <v>173</v>
      </c>
      <c r="C11" s="124" t="s">
        <v>174</v>
      </c>
      <c r="D11" s="114" t="s">
        <v>175</v>
      </c>
      <c r="E11" s="114" t="s">
        <v>176</v>
      </c>
      <c r="F11" s="123" t="s">
        <v>236</v>
      </c>
    </row>
    <row r="12" spans="1:6" x14ac:dyDescent="0.25">
      <c r="A12" s="123">
        <v>11</v>
      </c>
      <c r="B12" s="126" t="s">
        <v>130</v>
      </c>
      <c r="C12" s="127" t="s">
        <v>131</v>
      </c>
      <c r="D12" s="126" t="s">
        <v>132</v>
      </c>
      <c r="E12" s="126" t="s">
        <v>133</v>
      </c>
      <c r="F12" s="128" t="s">
        <v>232</v>
      </c>
    </row>
    <row r="13" spans="1:6" x14ac:dyDescent="0.25">
      <c r="A13" s="123">
        <v>12</v>
      </c>
      <c r="B13" s="126" t="s">
        <v>146</v>
      </c>
      <c r="C13" s="127" t="s">
        <v>147</v>
      </c>
      <c r="D13" s="126" t="s">
        <v>148</v>
      </c>
      <c r="E13" s="126" t="s">
        <v>149</v>
      </c>
      <c r="F13" s="128" t="s">
        <v>232</v>
      </c>
    </row>
    <row r="14" spans="1:6" x14ac:dyDescent="0.25">
      <c r="A14" s="123">
        <v>13</v>
      </c>
      <c r="B14" s="126" t="s">
        <v>197</v>
      </c>
      <c r="C14" s="127" t="s">
        <v>198</v>
      </c>
      <c r="D14" s="126" t="s">
        <v>199</v>
      </c>
      <c r="E14" s="126" t="s">
        <v>200</v>
      </c>
      <c r="F14" s="128" t="s">
        <v>232</v>
      </c>
    </row>
    <row r="15" spans="1:6" x14ac:dyDescent="0.25">
      <c r="A15" s="123">
        <v>14</v>
      </c>
      <c r="B15" s="114" t="s">
        <v>134</v>
      </c>
      <c r="C15" s="124" t="s">
        <v>135</v>
      </c>
      <c r="D15" s="114" t="s">
        <v>136</v>
      </c>
      <c r="E15" s="114" t="s">
        <v>137</v>
      </c>
      <c r="F15" s="123" t="s">
        <v>239</v>
      </c>
    </row>
    <row r="16" spans="1:6" x14ac:dyDescent="0.25">
      <c r="A16" s="123">
        <v>15</v>
      </c>
      <c r="B16" s="128" t="s">
        <v>107</v>
      </c>
      <c r="C16" s="129" t="s">
        <v>108</v>
      </c>
      <c r="D16" s="128" t="s">
        <v>109</v>
      </c>
      <c r="E16" s="128" t="s">
        <v>110</v>
      </c>
      <c r="F16" s="128" t="s">
        <v>230</v>
      </c>
    </row>
    <row r="17" spans="1:6" x14ac:dyDescent="0.25">
      <c r="A17" s="114">
        <v>16</v>
      </c>
      <c r="B17" s="126" t="s">
        <v>111</v>
      </c>
      <c r="C17" s="127" t="s">
        <v>112</v>
      </c>
      <c r="D17" s="126" t="s">
        <v>113</v>
      </c>
      <c r="E17" s="126" t="s">
        <v>114</v>
      </c>
      <c r="F17" s="128" t="s">
        <v>230</v>
      </c>
    </row>
    <row r="18" spans="1:6" x14ac:dyDescent="0.25">
      <c r="A18" s="123">
        <v>17</v>
      </c>
      <c r="B18" s="128" t="s">
        <v>123</v>
      </c>
      <c r="C18" s="129" t="s">
        <v>124</v>
      </c>
      <c r="D18" s="128" t="s">
        <v>125</v>
      </c>
      <c r="E18" s="128" t="s">
        <v>126</v>
      </c>
      <c r="F18" s="128" t="s">
        <v>230</v>
      </c>
    </row>
    <row r="19" spans="1:6" x14ac:dyDescent="0.25">
      <c r="A19" s="123">
        <v>18</v>
      </c>
      <c r="B19" s="126" t="s">
        <v>142</v>
      </c>
      <c r="C19" s="127" t="s">
        <v>143</v>
      </c>
      <c r="D19" s="126" t="s">
        <v>144</v>
      </c>
      <c r="E19" s="126" t="s">
        <v>145</v>
      </c>
      <c r="F19" s="128" t="s">
        <v>230</v>
      </c>
    </row>
    <row r="20" spans="1:6" x14ac:dyDescent="0.25">
      <c r="A20" s="123">
        <v>19</v>
      </c>
      <c r="B20" s="126" t="s">
        <v>169</v>
      </c>
      <c r="C20" s="127" t="s">
        <v>170</v>
      </c>
      <c r="D20" s="126" t="s">
        <v>171</v>
      </c>
      <c r="E20" s="126" t="s">
        <v>172</v>
      </c>
      <c r="F20" s="128" t="s">
        <v>230</v>
      </c>
    </row>
    <row r="21" spans="1:6" x14ac:dyDescent="0.25">
      <c r="A21" s="123">
        <v>20</v>
      </c>
      <c r="B21" s="126" t="s">
        <v>217</v>
      </c>
      <c r="C21" s="127" t="s">
        <v>218</v>
      </c>
      <c r="D21" s="126" t="s">
        <v>219</v>
      </c>
      <c r="E21" s="126" t="s">
        <v>220</v>
      </c>
      <c r="F21" s="128" t="s">
        <v>230</v>
      </c>
    </row>
    <row r="22" spans="1:6" x14ac:dyDescent="0.25">
      <c r="A22" s="114">
        <v>21</v>
      </c>
      <c r="B22" s="126" t="s">
        <v>158</v>
      </c>
      <c r="C22" s="127" t="s">
        <v>159</v>
      </c>
      <c r="D22" s="126" t="s">
        <v>160</v>
      </c>
      <c r="E22" s="126" t="s">
        <v>161</v>
      </c>
      <c r="F22" s="128" t="s">
        <v>234</v>
      </c>
    </row>
    <row r="23" spans="1:6" x14ac:dyDescent="0.25">
      <c r="A23" s="123">
        <v>22</v>
      </c>
      <c r="B23" s="126" t="s">
        <v>103</v>
      </c>
      <c r="C23" s="127" t="s">
        <v>104</v>
      </c>
      <c r="D23" s="126" t="s">
        <v>105</v>
      </c>
      <c r="E23" s="126" t="s">
        <v>106</v>
      </c>
      <c r="F23" s="128" t="s">
        <v>229</v>
      </c>
    </row>
    <row r="24" spans="1:6" x14ac:dyDescent="0.25">
      <c r="A24" s="123">
        <v>23</v>
      </c>
      <c r="B24" s="114" t="s">
        <v>181</v>
      </c>
      <c r="C24" s="124" t="s">
        <v>182</v>
      </c>
      <c r="D24" s="114" t="s">
        <v>183</v>
      </c>
      <c r="E24" s="114" t="s">
        <v>184</v>
      </c>
      <c r="F24" s="123" t="s">
        <v>240</v>
      </c>
    </row>
    <row r="25" spans="1:6" x14ac:dyDescent="0.25">
      <c r="A25" s="123">
        <v>24</v>
      </c>
      <c r="B25" s="128" t="s">
        <v>166</v>
      </c>
      <c r="C25" s="129" t="s">
        <v>167</v>
      </c>
      <c r="D25" s="128" t="s">
        <v>168</v>
      </c>
      <c r="E25" s="128" t="s">
        <v>101</v>
      </c>
      <c r="F25" s="128" t="s">
        <v>235</v>
      </c>
    </row>
    <row r="26" spans="1:6" x14ac:dyDescent="0.25">
      <c r="A26" s="123">
        <v>25</v>
      </c>
      <c r="B26" s="126" t="s">
        <v>213</v>
      </c>
      <c r="C26" s="127" t="s">
        <v>214</v>
      </c>
      <c r="D26" s="126" t="s">
        <v>215</v>
      </c>
      <c r="E26" s="126" t="s">
        <v>216</v>
      </c>
      <c r="F26" s="128" t="s">
        <v>235</v>
      </c>
    </row>
    <row r="27" spans="1:6" x14ac:dyDescent="0.25">
      <c r="A27" s="114">
        <v>26</v>
      </c>
      <c r="B27" s="123" t="s">
        <v>162</v>
      </c>
      <c r="C27" s="125" t="s">
        <v>163</v>
      </c>
      <c r="D27" s="123" t="s">
        <v>164</v>
      </c>
      <c r="E27" s="123" t="s">
        <v>165</v>
      </c>
      <c r="F27" s="123" t="s">
        <v>242</v>
      </c>
    </row>
    <row r="28" spans="1:6" x14ac:dyDescent="0.25">
      <c r="A28" s="123">
        <v>27</v>
      </c>
      <c r="B28" s="114" t="s">
        <v>221</v>
      </c>
      <c r="C28" s="124" t="s">
        <v>222</v>
      </c>
      <c r="D28" s="114" t="s">
        <v>223</v>
      </c>
      <c r="E28" s="114" t="s">
        <v>224</v>
      </c>
      <c r="F28" s="123" t="s">
        <v>242</v>
      </c>
    </row>
    <row r="29" spans="1:6" x14ac:dyDescent="0.25">
      <c r="A29" s="123">
        <v>28</v>
      </c>
      <c r="B29" s="126" t="s">
        <v>119</v>
      </c>
      <c r="C29" s="127" t="s">
        <v>120</v>
      </c>
      <c r="D29" s="126" t="s">
        <v>121</v>
      </c>
      <c r="E29" s="126" t="s">
        <v>122</v>
      </c>
      <c r="F29" s="128" t="s">
        <v>241</v>
      </c>
    </row>
    <row r="30" spans="1:6" x14ac:dyDescent="0.25">
      <c r="A30" s="123">
        <v>29</v>
      </c>
      <c r="B30" s="126" t="s">
        <v>193</v>
      </c>
      <c r="C30" s="127" t="s">
        <v>194</v>
      </c>
      <c r="D30" s="126" t="s">
        <v>195</v>
      </c>
      <c r="E30" s="126" t="s">
        <v>196</v>
      </c>
      <c r="F30" s="128" t="s">
        <v>241</v>
      </c>
    </row>
    <row r="31" spans="1:6" x14ac:dyDescent="0.25">
      <c r="A31" s="123">
        <v>30</v>
      </c>
      <c r="B31" s="114" t="s">
        <v>127</v>
      </c>
      <c r="C31" s="124" t="s">
        <v>102</v>
      </c>
      <c r="D31" s="114" t="s">
        <v>128</v>
      </c>
      <c r="E31" s="114" t="s">
        <v>129</v>
      </c>
      <c r="F31" s="123" t="s">
        <v>243</v>
      </c>
    </row>
    <row r="32" spans="1:6" x14ac:dyDescent="0.25">
      <c r="A32" s="114">
        <v>31</v>
      </c>
      <c r="B32" s="114" t="s">
        <v>201</v>
      </c>
      <c r="C32" s="124" t="s">
        <v>202</v>
      </c>
      <c r="D32" s="114" t="s">
        <v>203</v>
      </c>
      <c r="E32" s="114" t="s">
        <v>204</v>
      </c>
      <c r="F32" s="123" t="s">
        <v>243</v>
      </c>
    </row>
    <row r="33" spans="1:6" x14ac:dyDescent="0.25">
      <c r="A33" s="123">
        <v>32</v>
      </c>
      <c r="B33" s="114" t="s">
        <v>205</v>
      </c>
      <c r="C33" s="124" t="s">
        <v>206</v>
      </c>
      <c r="D33" s="114" t="s">
        <v>207</v>
      </c>
      <c r="E33" s="114" t="s">
        <v>208</v>
      </c>
      <c r="F33" s="123" t="s">
        <v>243</v>
      </c>
    </row>
  </sheetData>
  <autoFilter ref="A1:F33" xr:uid="{0A7AFABB-5C5B-442A-9950-79294F53E48A}"/>
  <sortState xmlns:xlrd2="http://schemas.microsoft.com/office/spreadsheetml/2017/richdata2" ref="B2:F33">
    <sortCondition ref="F2:F33"/>
  </sortState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0417-3370-47E9-B66A-038E02655685}">
  <dimension ref="A1:N62"/>
  <sheetViews>
    <sheetView zoomScale="85" zoomScaleNormal="85" workbookViewId="0">
      <selection activeCell="J15" sqref="A9:J20"/>
    </sheetView>
  </sheetViews>
  <sheetFormatPr defaultRowHeight="15.75" x14ac:dyDescent="0.25"/>
  <cols>
    <col min="1" max="1" width="6.5703125" style="111" bestFit="1" customWidth="1"/>
    <col min="2" max="2" width="5.140625" style="89" bestFit="1" customWidth="1"/>
    <col min="3" max="3" width="23.7109375" style="89" customWidth="1"/>
    <col min="4" max="4" width="8.85546875" style="89" customWidth="1"/>
    <col min="5" max="5" width="10.140625" style="90" customWidth="1"/>
    <col min="6" max="6" width="51.42578125" style="89" bestFit="1" customWidth="1"/>
    <col min="7" max="7" width="12.7109375" style="91" bestFit="1" customWidth="1"/>
    <col min="8" max="8" width="11.7109375" style="118" customWidth="1"/>
    <col min="9" max="9" width="13.140625" style="119" bestFit="1" customWidth="1"/>
    <col min="10" max="10" width="21.85546875" style="1" bestFit="1" customWidth="1"/>
    <col min="11" max="11" width="26.7109375" style="1" bestFit="1" customWidth="1"/>
    <col min="12" max="12" width="12.42578125" style="1" bestFit="1" customWidth="1"/>
    <col min="13" max="13" width="13.28515625" style="1" customWidth="1"/>
    <col min="14" max="16384" width="9.140625" style="1"/>
  </cols>
  <sheetData>
    <row r="1" spans="1:14" ht="16.5" thickBot="1" x14ac:dyDescent="0.3">
      <c r="A1" s="172" t="s">
        <v>67</v>
      </c>
      <c r="B1" s="172"/>
      <c r="C1" s="1" t="s">
        <v>244</v>
      </c>
      <c r="D1" s="1" t="s">
        <v>63</v>
      </c>
      <c r="E1" s="173"/>
      <c r="F1" s="173"/>
      <c r="G1" s="61" t="s">
        <v>68</v>
      </c>
      <c r="I1" s="119" t="s">
        <v>245</v>
      </c>
    </row>
    <row r="2" spans="1:14" s="10" customFormat="1" ht="48" thickBot="1" x14ac:dyDescent="0.3">
      <c r="A2" s="92" t="s">
        <v>61</v>
      </c>
      <c r="B2" s="93" t="s">
        <v>2</v>
      </c>
      <c r="C2" s="93" t="s">
        <v>3</v>
      </c>
      <c r="D2" s="93" t="s">
        <v>4</v>
      </c>
      <c r="E2" s="94" t="s">
        <v>62</v>
      </c>
      <c r="F2" s="93" t="s">
        <v>5</v>
      </c>
      <c r="G2" s="93" t="s">
        <v>64</v>
      </c>
      <c r="H2" s="120" t="s">
        <v>85</v>
      </c>
      <c r="I2" s="121" t="s">
        <v>64</v>
      </c>
      <c r="J2" s="112" t="s">
        <v>2</v>
      </c>
      <c r="K2" s="112" t="s">
        <v>66</v>
      </c>
      <c r="L2" s="112" t="s">
        <v>65</v>
      </c>
      <c r="M2" s="115" t="s">
        <v>95</v>
      </c>
      <c r="N2" s="112"/>
    </row>
    <row r="3" spans="1:14" ht="15" customHeight="1" x14ac:dyDescent="0.25">
      <c r="A3" s="167">
        <v>1</v>
      </c>
      <c r="B3" s="95">
        <v>1</v>
      </c>
      <c r="C3" s="95"/>
      <c r="D3" s="96"/>
      <c r="E3" s="97"/>
      <c r="F3" s="95"/>
      <c r="G3" s="98"/>
      <c r="H3" s="165"/>
      <c r="I3" s="165"/>
      <c r="J3" s="86">
        <v>1</v>
      </c>
      <c r="K3" s="60"/>
      <c r="L3" s="60"/>
      <c r="M3" s="116"/>
      <c r="N3" s="60"/>
    </row>
    <row r="4" spans="1:14" ht="15" customHeight="1" x14ac:dyDescent="0.25">
      <c r="A4" s="168"/>
      <c r="B4" s="99">
        <v>2</v>
      </c>
      <c r="C4" s="99"/>
      <c r="D4" s="100"/>
      <c r="E4" s="101"/>
      <c r="F4" s="99"/>
      <c r="G4" s="102"/>
      <c r="H4" s="166"/>
      <c r="I4" s="166"/>
      <c r="J4" s="86">
        <v>2</v>
      </c>
      <c r="K4" s="60"/>
      <c r="L4" s="60"/>
      <c r="M4" s="117"/>
      <c r="N4" s="60"/>
    </row>
    <row r="5" spans="1:14" ht="15" customHeight="1" x14ac:dyDescent="0.25">
      <c r="A5" s="168"/>
      <c r="B5" s="99">
        <v>3</v>
      </c>
      <c r="C5" s="99"/>
      <c r="D5" s="100"/>
      <c r="E5" s="101"/>
      <c r="F5" s="99"/>
      <c r="G5" s="102"/>
      <c r="H5" s="166"/>
      <c r="I5" s="166"/>
      <c r="J5" s="86">
        <v>3</v>
      </c>
      <c r="K5" s="60"/>
      <c r="L5" s="60"/>
      <c r="M5" s="117"/>
      <c r="N5" s="60"/>
    </row>
    <row r="6" spans="1:14" ht="15" customHeight="1" x14ac:dyDescent="0.25">
      <c r="A6" s="168"/>
      <c r="B6" s="99">
        <v>4</v>
      </c>
      <c r="C6" s="99"/>
      <c r="D6" s="100"/>
      <c r="E6" s="101"/>
      <c r="F6" s="99"/>
      <c r="G6" s="102"/>
      <c r="H6" s="166"/>
      <c r="I6" s="166"/>
      <c r="J6" s="86">
        <v>4</v>
      </c>
      <c r="K6" s="60"/>
      <c r="L6" s="60"/>
      <c r="M6" s="117"/>
      <c r="N6" s="60"/>
    </row>
    <row r="7" spans="1:14" x14ac:dyDescent="0.25">
      <c r="A7" s="169"/>
      <c r="B7" s="99">
        <v>5</v>
      </c>
      <c r="C7" s="103"/>
      <c r="D7" s="104"/>
      <c r="E7" s="105"/>
      <c r="F7" s="103"/>
      <c r="G7" s="106"/>
      <c r="H7" s="166"/>
      <c r="I7" s="166"/>
      <c r="J7" s="86">
        <v>5</v>
      </c>
      <c r="K7" s="60"/>
      <c r="L7" s="60"/>
      <c r="M7" s="117"/>
      <c r="N7" s="60"/>
    </row>
    <row r="8" spans="1:14" ht="16.5" thickBot="1" x14ac:dyDescent="0.3">
      <c r="A8" s="169"/>
      <c r="B8" s="99">
        <v>6</v>
      </c>
      <c r="C8" s="103"/>
      <c r="D8" s="104"/>
      <c r="E8" s="105"/>
      <c r="F8" s="103"/>
      <c r="G8" s="106"/>
      <c r="H8" s="166"/>
      <c r="I8" s="166"/>
      <c r="J8" s="86">
        <v>6</v>
      </c>
      <c r="K8" s="60"/>
      <c r="L8" s="60"/>
      <c r="M8" s="116"/>
      <c r="N8" s="60"/>
    </row>
    <row r="9" spans="1:14" ht="15.75" customHeight="1" x14ac:dyDescent="0.25">
      <c r="A9" s="167">
        <v>2</v>
      </c>
      <c r="B9" s="95">
        <v>1</v>
      </c>
      <c r="C9" s="95"/>
      <c r="D9" s="96"/>
      <c r="E9" s="97"/>
      <c r="F9" s="95"/>
      <c r="G9" s="98"/>
      <c r="H9" s="165"/>
      <c r="I9" s="165"/>
      <c r="J9" s="86">
        <v>7</v>
      </c>
      <c r="K9" s="60" t="s">
        <v>86</v>
      </c>
      <c r="L9" s="60" t="s">
        <v>96</v>
      </c>
      <c r="M9" s="60"/>
      <c r="N9" s="60" t="s">
        <v>91</v>
      </c>
    </row>
    <row r="10" spans="1:14" x14ac:dyDescent="0.25">
      <c r="A10" s="168"/>
      <c r="B10" s="99">
        <v>2</v>
      </c>
      <c r="C10" s="99"/>
      <c r="D10" s="100"/>
      <c r="E10" s="101"/>
      <c r="F10" s="99"/>
      <c r="G10" s="102"/>
      <c r="H10" s="166"/>
      <c r="I10" s="166"/>
      <c r="J10" s="86">
        <v>8</v>
      </c>
      <c r="K10" s="60" t="s">
        <v>87</v>
      </c>
      <c r="L10" s="60" t="s">
        <v>97</v>
      </c>
      <c r="M10" s="60"/>
      <c r="N10" s="60" t="s">
        <v>91</v>
      </c>
    </row>
    <row r="11" spans="1:14" x14ac:dyDescent="0.25">
      <c r="A11" s="168"/>
      <c r="B11" s="99">
        <v>3</v>
      </c>
      <c r="C11" s="99"/>
      <c r="D11" s="100"/>
      <c r="E11" s="101"/>
      <c r="F11" s="99"/>
      <c r="G11" s="102"/>
      <c r="H11" s="166"/>
      <c r="I11" s="166"/>
      <c r="J11" s="86">
        <v>9</v>
      </c>
      <c r="K11" s="60" t="s">
        <v>88</v>
      </c>
      <c r="L11" s="60" t="s">
        <v>98</v>
      </c>
      <c r="M11" s="60"/>
      <c r="N11" s="60" t="s">
        <v>91</v>
      </c>
    </row>
    <row r="12" spans="1:14" x14ac:dyDescent="0.25">
      <c r="A12" s="168"/>
      <c r="B12" s="99">
        <v>4</v>
      </c>
      <c r="C12" s="99"/>
      <c r="D12" s="100"/>
      <c r="E12" s="101"/>
      <c r="F12" s="99"/>
      <c r="G12" s="102"/>
      <c r="H12" s="166"/>
      <c r="I12" s="166"/>
      <c r="J12" s="86">
        <v>10</v>
      </c>
      <c r="K12" s="60" t="s">
        <v>89</v>
      </c>
      <c r="L12" s="60" t="s">
        <v>99</v>
      </c>
      <c r="M12" s="60"/>
      <c r="N12" s="60" t="s">
        <v>91</v>
      </c>
    </row>
    <row r="13" spans="1:14" x14ac:dyDescent="0.25">
      <c r="A13" s="169"/>
      <c r="B13" s="103">
        <v>5</v>
      </c>
      <c r="C13" s="103"/>
      <c r="D13" s="104"/>
      <c r="E13" s="105"/>
      <c r="F13" s="103"/>
      <c r="G13" s="106"/>
      <c r="H13" s="166"/>
      <c r="I13" s="166"/>
      <c r="J13" s="86">
        <v>11</v>
      </c>
      <c r="K13" s="60" t="s">
        <v>90</v>
      </c>
      <c r="L13" s="60" t="s">
        <v>100</v>
      </c>
      <c r="M13" s="60"/>
      <c r="N13" s="60" t="s">
        <v>91</v>
      </c>
    </row>
    <row r="14" spans="1:14" ht="16.5" thickBot="1" x14ac:dyDescent="0.3">
      <c r="A14" s="169"/>
      <c r="B14" s="103">
        <v>6</v>
      </c>
      <c r="C14" s="103"/>
      <c r="D14" s="104"/>
      <c r="E14" s="105"/>
      <c r="F14" s="103"/>
      <c r="G14" s="106"/>
      <c r="H14" s="166"/>
      <c r="I14" s="166"/>
    </row>
    <row r="15" spans="1:14" ht="15.75" customHeight="1" x14ac:dyDescent="0.25">
      <c r="A15" s="167">
        <v>3</v>
      </c>
      <c r="B15" s="95">
        <v>1</v>
      </c>
      <c r="C15" s="95"/>
      <c r="D15" s="96"/>
      <c r="E15" s="97"/>
      <c r="F15" s="95"/>
      <c r="G15" s="98"/>
      <c r="H15" s="165"/>
      <c r="I15" s="165"/>
      <c r="J15" s="171"/>
    </row>
    <row r="16" spans="1:14" x14ac:dyDescent="0.25">
      <c r="A16" s="168"/>
      <c r="B16" s="99">
        <v>2</v>
      </c>
      <c r="C16" s="99"/>
      <c r="D16" s="100"/>
      <c r="E16" s="101"/>
      <c r="F16" s="99"/>
      <c r="G16" s="102"/>
      <c r="H16" s="166"/>
      <c r="I16" s="166"/>
      <c r="J16" s="171"/>
    </row>
    <row r="17" spans="1:10" x14ac:dyDescent="0.25">
      <c r="A17" s="168"/>
      <c r="B17" s="99">
        <v>3</v>
      </c>
      <c r="C17" s="99"/>
      <c r="D17" s="100"/>
      <c r="E17" s="101"/>
      <c r="F17" s="99"/>
      <c r="G17" s="102"/>
      <c r="H17" s="166"/>
      <c r="I17" s="166"/>
      <c r="J17" s="171"/>
    </row>
    <row r="18" spans="1:10" x14ac:dyDescent="0.25">
      <c r="A18" s="168"/>
      <c r="B18" s="99">
        <v>4</v>
      </c>
      <c r="C18" s="99"/>
      <c r="D18" s="100"/>
      <c r="E18" s="101"/>
      <c r="F18" s="99"/>
      <c r="G18" s="102"/>
      <c r="H18" s="166"/>
      <c r="I18" s="166"/>
      <c r="J18" s="171"/>
    </row>
    <row r="19" spans="1:10" x14ac:dyDescent="0.25">
      <c r="A19" s="169"/>
      <c r="B19" s="99">
        <v>5</v>
      </c>
      <c r="C19" s="103"/>
      <c r="D19" s="104"/>
      <c r="E19" s="105"/>
      <c r="F19" s="103"/>
      <c r="G19" s="106"/>
      <c r="H19" s="166"/>
      <c r="I19" s="166"/>
      <c r="J19" s="171"/>
    </row>
    <row r="20" spans="1:10" ht="16.5" thickBot="1" x14ac:dyDescent="0.3">
      <c r="A20" s="169"/>
      <c r="B20" s="99">
        <v>6</v>
      </c>
      <c r="C20" s="103"/>
      <c r="D20" s="104"/>
      <c r="E20" s="105"/>
      <c r="F20" s="103"/>
      <c r="G20" s="106"/>
      <c r="H20" s="166"/>
      <c r="I20" s="166"/>
      <c r="J20" s="171"/>
    </row>
    <row r="21" spans="1:10" ht="15.75" customHeight="1" x14ac:dyDescent="0.25">
      <c r="A21" s="167">
        <v>4</v>
      </c>
      <c r="B21" s="95">
        <v>1</v>
      </c>
      <c r="C21" s="95"/>
      <c r="D21" s="96"/>
      <c r="E21" s="97"/>
      <c r="F21" s="95"/>
      <c r="G21" s="98"/>
      <c r="H21" s="165"/>
      <c r="I21" s="165"/>
    </row>
    <row r="22" spans="1:10" x14ac:dyDescent="0.25">
      <c r="A22" s="168"/>
      <c r="B22" s="99">
        <v>2</v>
      </c>
      <c r="C22" s="99"/>
      <c r="D22" s="100"/>
      <c r="E22" s="101"/>
      <c r="F22" s="99"/>
      <c r="G22" s="102"/>
      <c r="H22" s="166"/>
      <c r="I22" s="166"/>
    </row>
    <row r="23" spans="1:10" x14ac:dyDescent="0.25">
      <c r="A23" s="168"/>
      <c r="B23" s="99">
        <v>3</v>
      </c>
      <c r="C23" s="99"/>
      <c r="D23" s="100"/>
      <c r="E23" s="101"/>
      <c r="F23" s="99"/>
      <c r="G23" s="102"/>
      <c r="H23" s="166"/>
      <c r="I23" s="166"/>
    </row>
    <row r="24" spans="1:10" x14ac:dyDescent="0.25">
      <c r="A24" s="168"/>
      <c r="B24" s="99">
        <v>4</v>
      </c>
      <c r="C24" s="99"/>
      <c r="D24" s="100"/>
      <c r="E24" s="101"/>
      <c r="F24" s="99"/>
      <c r="G24" s="102"/>
      <c r="H24" s="166"/>
      <c r="I24" s="166"/>
    </row>
    <row r="25" spans="1:10" x14ac:dyDescent="0.25">
      <c r="A25" s="169"/>
      <c r="B25" s="103">
        <v>5</v>
      </c>
      <c r="C25" s="103"/>
      <c r="D25" s="104"/>
      <c r="E25" s="105"/>
      <c r="F25" s="103"/>
      <c r="G25" s="106"/>
      <c r="H25" s="166"/>
      <c r="I25" s="166"/>
    </row>
    <row r="26" spans="1:10" ht="16.5" thickBot="1" x14ac:dyDescent="0.3">
      <c r="A26" s="169"/>
      <c r="B26" s="103">
        <v>6</v>
      </c>
      <c r="C26" s="103"/>
      <c r="D26" s="104"/>
      <c r="E26" s="105"/>
      <c r="F26" s="103"/>
      <c r="G26" s="106"/>
      <c r="H26" s="166"/>
      <c r="I26" s="166"/>
    </row>
    <row r="27" spans="1:10" ht="15.75" customHeight="1" x14ac:dyDescent="0.25">
      <c r="A27" s="167">
        <v>5</v>
      </c>
      <c r="B27" s="95">
        <v>1</v>
      </c>
      <c r="C27" s="95"/>
      <c r="D27" s="96"/>
      <c r="E27" s="97"/>
      <c r="F27" s="95"/>
      <c r="G27" s="98"/>
      <c r="H27" s="165"/>
      <c r="I27" s="165"/>
    </row>
    <row r="28" spans="1:10" x14ac:dyDescent="0.25">
      <c r="A28" s="168"/>
      <c r="B28" s="99">
        <v>2</v>
      </c>
      <c r="C28" s="99"/>
      <c r="D28" s="100"/>
      <c r="E28" s="101"/>
      <c r="F28" s="99"/>
      <c r="G28" s="102"/>
      <c r="H28" s="166"/>
      <c r="I28" s="166"/>
    </row>
    <row r="29" spans="1:10" x14ac:dyDescent="0.25">
      <c r="A29" s="168"/>
      <c r="B29" s="99">
        <v>3</v>
      </c>
      <c r="C29" s="99"/>
      <c r="D29" s="100"/>
      <c r="E29" s="101"/>
      <c r="F29" s="99"/>
      <c r="G29" s="102"/>
      <c r="H29" s="166"/>
      <c r="I29" s="166"/>
    </row>
    <row r="30" spans="1:10" x14ac:dyDescent="0.25">
      <c r="A30" s="168"/>
      <c r="B30" s="99">
        <v>4</v>
      </c>
      <c r="C30" s="99"/>
      <c r="D30" s="100"/>
      <c r="E30" s="101"/>
      <c r="F30" s="99"/>
      <c r="G30" s="102"/>
      <c r="H30" s="166"/>
      <c r="I30" s="166"/>
    </row>
    <row r="31" spans="1:10" x14ac:dyDescent="0.25">
      <c r="A31" s="169"/>
      <c r="B31" s="99">
        <v>5</v>
      </c>
      <c r="C31" s="103"/>
      <c r="D31" s="104"/>
      <c r="E31" s="105"/>
      <c r="F31" s="103"/>
      <c r="G31" s="106"/>
      <c r="H31" s="166"/>
      <c r="I31" s="166"/>
    </row>
    <row r="32" spans="1:10" ht="16.5" thickBot="1" x14ac:dyDescent="0.3">
      <c r="A32" s="169"/>
      <c r="B32" s="99">
        <v>6</v>
      </c>
      <c r="C32" s="103"/>
      <c r="D32" s="104"/>
      <c r="E32" s="105"/>
      <c r="F32" s="103"/>
      <c r="G32" s="106"/>
      <c r="H32" s="166"/>
      <c r="I32" s="166"/>
    </row>
    <row r="33" spans="1:9" ht="15.75" customHeight="1" x14ac:dyDescent="0.25">
      <c r="A33" s="167">
        <v>6</v>
      </c>
      <c r="B33" s="95">
        <v>1</v>
      </c>
      <c r="C33" s="95"/>
      <c r="D33" s="96"/>
      <c r="E33" s="97"/>
      <c r="F33" s="95"/>
      <c r="G33" s="98"/>
      <c r="H33" s="165"/>
      <c r="I33" s="165"/>
    </row>
    <row r="34" spans="1:9" x14ac:dyDescent="0.25">
      <c r="A34" s="168"/>
      <c r="B34" s="99">
        <v>2</v>
      </c>
      <c r="C34" s="99"/>
      <c r="D34" s="100"/>
      <c r="E34" s="101"/>
      <c r="F34" s="99"/>
      <c r="G34" s="102"/>
      <c r="H34" s="166"/>
      <c r="I34" s="166"/>
    </row>
    <row r="35" spans="1:9" x14ac:dyDescent="0.25">
      <c r="A35" s="168"/>
      <c r="B35" s="99">
        <v>3</v>
      </c>
      <c r="C35" s="99"/>
      <c r="D35" s="100"/>
      <c r="E35" s="101"/>
      <c r="F35" s="99"/>
      <c r="G35" s="102"/>
      <c r="H35" s="166"/>
      <c r="I35" s="166"/>
    </row>
    <row r="36" spans="1:9" x14ac:dyDescent="0.25">
      <c r="A36" s="168"/>
      <c r="B36" s="99">
        <v>4</v>
      </c>
      <c r="C36" s="99"/>
      <c r="D36" s="100"/>
      <c r="E36" s="101"/>
      <c r="F36" s="99"/>
      <c r="G36" s="102"/>
      <c r="H36" s="166"/>
      <c r="I36" s="166"/>
    </row>
    <row r="37" spans="1:9" x14ac:dyDescent="0.25">
      <c r="A37" s="169"/>
      <c r="B37" s="103">
        <v>5</v>
      </c>
      <c r="C37" s="103"/>
      <c r="D37" s="104"/>
      <c r="E37" s="105"/>
      <c r="F37" s="103"/>
      <c r="G37" s="106"/>
      <c r="H37" s="166"/>
      <c r="I37" s="166"/>
    </row>
    <row r="38" spans="1:9" ht="16.5" thickBot="1" x14ac:dyDescent="0.3">
      <c r="A38" s="169"/>
      <c r="B38" s="103">
        <v>6</v>
      </c>
      <c r="C38" s="103"/>
      <c r="D38" s="104"/>
      <c r="E38" s="105"/>
      <c r="F38" s="103"/>
      <c r="G38" s="106"/>
      <c r="H38" s="166"/>
      <c r="I38" s="166"/>
    </row>
    <row r="39" spans="1:9" x14ac:dyDescent="0.25">
      <c r="A39" s="167">
        <v>7</v>
      </c>
      <c r="B39" s="95">
        <v>1</v>
      </c>
      <c r="C39" s="95"/>
      <c r="D39" s="96"/>
      <c r="E39" s="97"/>
      <c r="F39" s="95"/>
      <c r="G39" s="98"/>
      <c r="H39" s="165"/>
      <c r="I39" s="165"/>
    </row>
    <row r="40" spans="1:9" x14ac:dyDescent="0.25">
      <c r="A40" s="168"/>
      <c r="B40" s="99">
        <v>2</v>
      </c>
      <c r="C40" s="99"/>
      <c r="D40" s="100"/>
      <c r="E40" s="101"/>
      <c r="F40" s="99"/>
      <c r="G40" s="102"/>
      <c r="H40" s="166"/>
      <c r="I40" s="166"/>
    </row>
    <row r="41" spans="1:9" x14ac:dyDescent="0.25">
      <c r="A41" s="168"/>
      <c r="B41" s="99">
        <v>3</v>
      </c>
      <c r="C41" s="99"/>
      <c r="D41" s="100"/>
      <c r="E41" s="101"/>
      <c r="F41" s="99"/>
      <c r="G41" s="102"/>
      <c r="H41" s="166"/>
      <c r="I41" s="166"/>
    </row>
    <row r="42" spans="1:9" x14ac:dyDescent="0.25">
      <c r="A42" s="168"/>
      <c r="B42" s="99">
        <v>4</v>
      </c>
      <c r="C42" s="99"/>
      <c r="D42" s="100"/>
      <c r="E42" s="101"/>
      <c r="F42" s="99"/>
      <c r="G42" s="102"/>
      <c r="H42" s="166"/>
      <c r="I42" s="166"/>
    </row>
    <row r="43" spans="1:9" x14ac:dyDescent="0.25">
      <c r="A43" s="169"/>
      <c r="B43" s="99">
        <v>5</v>
      </c>
      <c r="C43" s="103"/>
      <c r="D43" s="104"/>
      <c r="E43" s="105"/>
      <c r="F43" s="103"/>
      <c r="G43" s="106"/>
      <c r="H43" s="166"/>
      <c r="I43" s="166"/>
    </row>
    <row r="44" spans="1:9" ht="16.5" thickBot="1" x14ac:dyDescent="0.3">
      <c r="A44" s="169"/>
      <c r="B44" s="99">
        <v>6</v>
      </c>
      <c r="C44" s="103"/>
      <c r="D44" s="104"/>
      <c r="E44" s="105"/>
      <c r="F44" s="103"/>
      <c r="G44" s="106"/>
      <c r="H44" s="166"/>
      <c r="I44" s="166"/>
    </row>
    <row r="45" spans="1:9" x14ac:dyDescent="0.25">
      <c r="A45" s="167">
        <v>8</v>
      </c>
      <c r="B45" s="95">
        <v>1</v>
      </c>
      <c r="C45" s="95"/>
      <c r="D45" s="96"/>
      <c r="E45" s="97"/>
      <c r="F45" s="95"/>
      <c r="G45" s="98"/>
      <c r="H45" s="165"/>
      <c r="I45" s="165"/>
    </row>
    <row r="46" spans="1:9" x14ac:dyDescent="0.25">
      <c r="A46" s="168"/>
      <c r="B46" s="99">
        <v>2</v>
      </c>
      <c r="C46" s="99"/>
      <c r="D46" s="100"/>
      <c r="E46" s="101"/>
      <c r="F46" s="99"/>
      <c r="G46" s="102"/>
      <c r="H46" s="166"/>
      <c r="I46" s="166"/>
    </row>
    <row r="47" spans="1:9" x14ac:dyDescent="0.25">
      <c r="A47" s="168"/>
      <c r="B47" s="99">
        <v>3</v>
      </c>
      <c r="C47" s="99"/>
      <c r="D47" s="100"/>
      <c r="E47" s="101"/>
      <c r="F47" s="99"/>
      <c r="G47" s="102"/>
      <c r="H47" s="166"/>
      <c r="I47" s="166"/>
    </row>
    <row r="48" spans="1:9" x14ac:dyDescent="0.25">
      <c r="A48" s="168"/>
      <c r="B48" s="99">
        <v>4</v>
      </c>
      <c r="C48" s="99"/>
      <c r="D48" s="100"/>
      <c r="E48" s="101"/>
      <c r="F48" s="99"/>
      <c r="G48" s="102"/>
      <c r="H48" s="166"/>
      <c r="I48" s="166"/>
    </row>
    <row r="49" spans="1:9" x14ac:dyDescent="0.25">
      <c r="A49" s="169"/>
      <c r="B49" s="103">
        <v>5</v>
      </c>
      <c r="C49" s="103"/>
      <c r="D49" s="104"/>
      <c r="E49" s="105"/>
      <c r="F49" s="103"/>
      <c r="G49" s="106"/>
      <c r="H49" s="166"/>
      <c r="I49" s="166"/>
    </row>
    <row r="50" spans="1:9" ht="16.5" thickBot="1" x14ac:dyDescent="0.3">
      <c r="A50" s="169"/>
      <c r="B50" s="103">
        <v>6</v>
      </c>
      <c r="C50" s="103"/>
      <c r="D50" s="104"/>
      <c r="E50" s="105"/>
      <c r="F50" s="103"/>
      <c r="G50" s="106"/>
      <c r="H50" s="166"/>
      <c r="I50" s="166"/>
    </row>
    <row r="51" spans="1:9" x14ac:dyDescent="0.25">
      <c r="A51" s="167">
        <v>9</v>
      </c>
      <c r="B51" s="95">
        <v>1</v>
      </c>
      <c r="C51" s="95"/>
      <c r="D51" s="96"/>
      <c r="E51" s="97"/>
      <c r="F51" s="95"/>
      <c r="G51" s="98"/>
      <c r="H51" s="165"/>
      <c r="I51" s="165"/>
    </row>
    <row r="52" spans="1:9" x14ac:dyDescent="0.25">
      <c r="A52" s="168"/>
      <c r="B52" s="99">
        <v>2</v>
      </c>
      <c r="C52" s="99"/>
      <c r="D52" s="100"/>
      <c r="E52" s="101"/>
      <c r="F52" s="99"/>
      <c r="G52" s="102"/>
      <c r="H52" s="166"/>
      <c r="I52" s="166"/>
    </row>
    <row r="53" spans="1:9" x14ac:dyDescent="0.25">
      <c r="A53" s="168"/>
      <c r="B53" s="99">
        <v>3</v>
      </c>
      <c r="C53" s="99"/>
      <c r="D53" s="100"/>
      <c r="E53" s="101"/>
      <c r="F53" s="99"/>
      <c r="G53" s="102"/>
      <c r="H53" s="166"/>
      <c r="I53" s="166"/>
    </row>
    <row r="54" spans="1:9" x14ac:dyDescent="0.25">
      <c r="A54" s="168"/>
      <c r="B54" s="99">
        <v>4</v>
      </c>
      <c r="C54" s="99"/>
      <c r="D54" s="100"/>
      <c r="E54" s="101"/>
      <c r="F54" s="99"/>
      <c r="G54" s="102"/>
      <c r="H54" s="166"/>
      <c r="I54" s="166"/>
    </row>
    <row r="55" spans="1:9" x14ac:dyDescent="0.25">
      <c r="A55" s="169"/>
      <c r="B55" s="99">
        <v>5</v>
      </c>
      <c r="C55" s="103"/>
      <c r="D55" s="104"/>
      <c r="E55" s="105"/>
      <c r="F55" s="103"/>
      <c r="G55" s="106"/>
      <c r="H55" s="166"/>
      <c r="I55" s="166"/>
    </row>
    <row r="56" spans="1:9" ht="16.5" thickBot="1" x14ac:dyDescent="0.3">
      <c r="A56" s="169"/>
      <c r="B56" s="99">
        <v>6</v>
      </c>
      <c r="C56" s="103"/>
      <c r="D56" s="104"/>
      <c r="E56" s="105"/>
      <c r="F56" s="103"/>
      <c r="G56" s="106"/>
      <c r="H56" s="166"/>
      <c r="I56" s="166"/>
    </row>
    <row r="57" spans="1:9" x14ac:dyDescent="0.25">
      <c r="A57" s="167">
        <v>10</v>
      </c>
      <c r="B57" s="95">
        <v>1</v>
      </c>
      <c r="C57" s="95"/>
      <c r="D57" s="96"/>
      <c r="E57" s="97"/>
      <c r="F57" s="95"/>
      <c r="G57" s="98"/>
      <c r="H57" s="165"/>
      <c r="I57" s="162"/>
    </row>
    <row r="58" spans="1:9" x14ac:dyDescent="0.25">
      <c r="A58" s="168"/>
      <c r="B58" s="99">
        <v>2</v>
      </c>
      <c r="C58" s="99"/>
      <c r="D58" s="100"/>
      <c r="E58" s="101"/>
      <c r="F58" s="99"/>
      <c r="G58" s="102"/>
      <c r="H58" s="166"/>
      <c r="I58" s="163"/>
    </row>
    <row r="59" spans="1:9" x14ac:dyDescent="0.25">
      <c r="A59" s="168"/>
      <c r="B59" s="99">
        <v>3</v>
      </c>
      <c r="C59" s="99"/>
      <c r="D59" s="100"/>
      <c r="E59" s="101"/>
      <c r="F59" s="99"/>
      <c r="G59" s="102"/>
      <c r="H59" s="166"/>
      <c r="I59" s="163"/>
    </row>
    <row r="60" spans="1:9" x14ac:dyDescent="0.25">
      <c r="A60" s="168"/>
      <c r="B60" s="99">
        <v>4</v>
      </c>
      <c r="C60" s="99"/>
      <c r="D60" s="100"/>
      <c r="E60" s="101"/>
      <c r="F60" s="99"/>
      <c r="G60" s="102"/>
      <c r="H60" s="166"/>
      <c r="I60" s="163"/>
    </row>
    <row r="61" spans="1:9" x14ac:dyDescent="0.25">
      <c r="A61" s="169"/>
      <c r="B61" s="103">
        <v>5</v>
      </c>
      <c r="C61" s="103"/>
      <c r="D61" s="104"/>
      <c r="E61" s="105"/>
      <c r="F61" s="103"/>
      <c r="G61" s="106"/>
      <c r="H61" s="166"/>
      <c r="I61" s="163"/>
    </row>
    <row r="62" spans="1:9" ht="16.5" thickBot="1" x14ac:dyDescent="0.3">
      <c r="A62" s="169"/>
      <c r="B62" s="107">
        <v>6</v>
      </c>
      <c r="C62" s="107"/>
      <c r="D62" s="108"/>
      <c r="E62" s="109"/>
      <c r="F62" s="107"/>
      <c r="G62" s="110"/>
      <c r="H62" s="170"/>
      <c r="I62" s="164"/>
    </row>
  </sheetData>
  <mergeCells count="33">
    <mergeCell ref="A1:B1"/>
    <mergeCell ref="A9:A14"/>
    <mergeCell ref="A3:A8"/>
    <mergeCell ref="H9:H14"/>
    <mergeCell ref="I3:I8"/>
    <mergeCell ref="I9:I14"/>
    <mergeCell ref="H3:H8"/>
    <mergeCell ref="E1:F1"/>
    <mergeCell ref="J15:J20"/>
    <mergeCell ref="I33:I38"/>
    <mergeCell ref="H33:H38"/>
    <mergeCell ref="A33:A38"/>
    <mergeCell ref="I27:I32"/>
    <mergeCell ref="H27:H32"/>
    <mergeCell ref="A27:A32"/>
    <mergeCell ref="A15:A20"/>
    <mergeCell ref="H15:H20"/>
    <mergeCell ref="I15:I20"/>
    <mergeCell ref="A21:A26"/>
    <mergeCell ref="H21:H26"/>
    <mergeCell ref="I21:I26"/>
    <mergeCell ref="A39:A44"/>
    <mergeCell ref="A45:A50"/>
    <mergeCell ref="A51:A56"/>
    <mergeCell ref="A57:A62"/>
    <mergeCell ref="H39:H44"/>
    <mergeCell ref="H57:H62"/>
    <mergeCell ref="I57:I62"/>
    <mergeCell ref="I39:I44"/>
    <mergeCell ref="H45:H50"/>
    <mergeCell ref="I45:I50"/>
    <mergeCell ref="H51:H56"/>
    <mergeCell ref="I51:I56"/>
  </mergeCells>
  <phoneticPr fontId="26" type="noConversion"/>
  <conditionalFormatting sqref="C3:C62">
    <cfRule type="duplicateValues" dxfId="0" priority="18"/>
  </conditionalFormatting>
  <pageMargins left="0.17" right="0.17" top="0.18" bottom="0.17" header="0.17" footer="0.17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9082-5C5D-4ED6-BF57-4B206F859C25}">
  <dimension ref="A1:O763"/>
  <sheetViews>
    <sheetView showWhiteSpace="0" view="pageLayout" zoomScale="70" zoomScaleNormal="70" zoomScalePageLayoutView="70" workbookViewId="0">
      <selection activeCell="T19" sqref="T19"/>
    </sheetView>
  </sheetViews>
  <sheetFormatPr defaultRowHeight="15" x14ac:dyDescent="0.25"/>
  <cols>
    <col min="1" max="2" width="9.140625" style="20"/>
    <col min="3" max="3" width="10" style="20" customWidth="1"/>
    <col min="4" max="14" width="9.140625" style="20"/>
    <col min="15" max="15" width="5.140625" style="20" customWidth="1"/>
    <col min="16" max="16384" width="9.140625" style="20"/>
  </cols>
  <sheetData>
    <row r="1" spans="1:15" ht="28.7" customHeight="1" thickTop="1" x14ac:dyDescent="0.25">
      <c r="A1" s="64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</row>
    <row r="2" spans="1:15" ht="28.7" customHeight="1" x14ac:dyDescent="0.3">
      <c r="A2" s="67"/>
      <c r="C2" s="174" t="s">
        <v>69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O2" s="68"/>
    </row>
    <row r="3" spans="1:15" ht="28.7" customHeight="1" x14ac:dyDescent="0.25">
      <c r="A3" s="67"/>
      <c r="O3" s="68"/>
    </row>
    <row r="4" spans="1:15" ht="28.7" customHeight="1" x14ac:dyDescent="0.25">
      <c r="A4" s="67"/>
      <c r="O4" s="68"/>
    </row>
    <row r="5" spans="1:15" ht="28.7" customHeight="1" x14ac:dyDescent="0.45">
      <c r="A5" s="67"/>
      <c r="E5" s="179" t="s">
        <v>70</v>
      </c>
      <c r="F5" s="179"/>
      <c r="G5" s="179"/>
      <c r="H5" s="179"/>
      <c r="I5" s="179"/>
      <c r="J5" s="179"/>
      <c r="K5" s="179"/>
      <c r="L5" s="63"/>
      <c r="O5" s="68"/>
    </row>
    <row r="6" spans="1:15" ht="28.7" customHeight="1" x14ac:dyDescent="0.45">
      <c r="A6" s="67"/>
      <c r="E6" s="179"/>
      <c r="F6" s="179"/>
      <c r="G6" s="179"/>
      <c r="H6" s="179"/>
      <c r="I6" s="179"/>
      <c r="J6" s="179"/>
      <c r="K6" s="179"/>
      <c r="L6" s="63"/>
      <c r="O6" s="68"/>
    </row>
    <row r="7" spans="1:15" ht="28.7" customHeight="1" x14ac:dyDescent="0.45">
      <c r="A7" s="67"/>
      <c r="E7" s="179"/>
      <c r="F7" s="179"/>
      <c r="G7" s="179"/>
      <c r="H7" s="179"/>
      <c r="I7" s="179"/>
      <c r="J7" s="179"/>
      <c r="K7" s="179"/>
      <c r="L7" s="63"/>
      <c r="O7" s="68"/>
    </row>
    <row r="8" spans="1:15" ht="28.7" customHeight="1" x14ac:dyDescent="0.45">
      <c r="A8" s="67"/>
      <c r="E8" s="63"/>
      <c r="F8" s="63"/>
      <c r="G8" s="63"/>
      <c r="H8" s="63"/>
      <c r="I8" s="63"/>
      <c r="J8" s="63"/>
      <c r="K8" s="63"/>
      <c r="L8" s="63"/>
      <c r="O8" s="68"/>
    </row>
    <row r="9" spans="1:15" ht="28.7" customHeight="1" x14ac:dyDescent="0.25">
      <c r="A9" s="67"/>
      <c r="O9" s="68"/>
    </row>
    <row r="10" spans="1:15" ht="28.7" customHeight="1" x14ac:dyDescent="0.25">
      <c r="A10" s="67"/>
      <c r="C10" s="175" t="s">
        <v>71</v>
      </c>
      <c r="D10" s="175"/>
      <c r="E10" s="175"/>
      <c r="F10" s="72"/>
      <c r="G10" s="180" t="s">
        <v>78</v>
      </c>
      <c r="H10" s="180"/>
      <c r="I10" s="180"/>
      <c r="J10" s="180"/>
      <c r="K10" s="180"/>
      <c r="L10" s="180"/>
      <c r="M10" s="180"/>
      <c r="O10" s="68"/>
    </row>
    <row r="11" spans="1:15" ht="28.7" customHeight="1" x14ac:dyDescent="0.25">
      <c r="A11" s="67"/>
      <c r="C11" s="181" t="s">
        <v>246</v>
      </c>
      <c r="D11" s="181"/>
      <c r="E11" s="181"/>
      <c r="F11" s="181"/>
      <c r="G11" s="180" t="s">
        <v>78</v>
      </c>
      <c r="H11" s="180"/>
      <c r="I11" s="180"/>
      <c r="J11" s="180"/>
      <c r="K11" s="180"/>
      <c r="L11" s="180"/>
      <c r="M11" s="176"/>
      <c r="O11" s="68"/>
    </row>
    <row r="12" spans="1:15" ht="28.7" customHeight="1" x14ac:dyDescent="0.25">
      <c r="A12" s="67"/>
      <c r="C12" s="74"/>
      <c r="D12" s="74"/>
      <c r="E12" s="74"/>
      <c r="F12" s="74"/>
      <c r="O12" s="68"/>
    </row>
    <row r="13" spans="1:15" ht="28.7" customHeight="1" x14ac:dyDescent="0.25">
      <c r="A13" s="67"/>
      <c r="C13" s="175" t="s">
        <v>247</v>
      </c>
      <c r="D13" s="175"/>
      <c r="E13" s="175"/>
      <c r="F13" s="175"/>
      <c r="G13" s="180" t="s">
        <v>78</v>
      </c>
      <c r="H13" s="180"/>
      <c r="I13" s="180"/>
      <c r="J13" s="180"/>
      <c r="K13" s="180"/>
      <c r="L13" s="75"/>
      <c r="O13" s="68"/>
    </row>
    <row r="14" spans="1:15" ht="28.7" customHeight="1" x14ac:dyDescent="0.25">
      <c r="A14" s="67"/>
      <c r="C14" s="175" t="s">
        <v>248</v>
      </c>
      <c r="D14" s="176"/>
      <c r="E14" s="176"/>
      <c r="F14" s="176"/>
      <c r="G14" s="180" t="s">
        <v>78</v>
      </c>
      <c r="H14" s="180"/>
      <c r="I14" s="180"/>
      <c r="J14" s="180"/>
      <c r="K14" s="180"/>
      <c r="L14" s="180"/>
      <c r="O14" s="68"/>
    </row>
    <row r="15" spans="1:15" ht="28.7" customHeight="1" x14ac:dyDescent="0.25">
      <c r="A15" s="67"/>
      <c r="C15" s="75"/>
      <c r="D15" s="73"/>
      <c r="E15" s="73"/>
      <c r="F15" s="73"/>
      <c r="G15" s="75"/>
      <c r="H15" s="75"/>
      <c r="I15" s="75"/>
      <c r="J15" s="75"/>
      <c r="K15" s="75"/>
      <c r="L15" s="75"/>
      <c r="O15" s="68"/>
    </row>
    <row r="16" spans="1:15" s="75" customFormat="1" ht="28.7" customHeight="1" x14ac:dyDescent="0.25">
      <c r="A16" s="76"/>
      <c r="C16" s="177" t="s">
        <v>72</v>
      </c>
      <c r="D16" s="177"/>
      <c r="E16" s="178" t="s">
        <v>79</v>
      </c>
      <c r="F16" s="178"/>
      <c r="G16" s="178"/>
      <c r="H16" s="177" t="s">
        <v>73</v>
      </c>
      <c r="I16" s="177"/>
      <c r="J16" s="79" t="s">
        <v>80</v>
      </c>
      <c r="K16" s="72" t="s">
        <v>74</v>
      </c>
      <c r="L16" s="79" t="s">
        <v>244</v>
      </c>
      <c r="O16" s="77"/>
    </row>
    <row r="17" spans="1:15" ht="28.7" customHeight="1" x14ac:dyDescent="0.25">
      <c r="A17" s="67"/>
      <c r="O17" s="68"/>
    </row>
    <row r="18" spans="1:15" ht="28.7" customHeight="1" x14ac:dyDescent="0.3">
      <c r="A18" s="67"/>
      <c r="C18" s="174" t="s">
        <v>92</v>
      </c>
      <c r="D18" s="174"/>
      <c r="E18" s="174"/>
      <c r="F18" s="174"/>
      <c r="G18" s="174"/>
      <c r="H18" s="174"/>
      <c r="I18" s="174"/>
      <c r="J18" s="174"/>
      <c r="K18" s="174"/>
      <c r="L18" s="174"/>
      <c r="O18" s="68"/>
    </row>
    <row r="19" spans="1:15" ht="28.7" customHeight="1" thickBot="1" x14ac:dyDescent="0.3">
      <c r="A19" s="69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/>
    </row>
    <row r="20" spans="1:15" ht="28.7" customHeight="1" thickTop="1" x14ac:dyDescent="0.25"/>
    <row r="21" spans="1:15" ht="28.7" customHeight="1" x14ac:dyDescent="0.25"/>
    <row r="22" spans="1:15" ht="28.7" customHeight="1" x14ac:dyDescent="0.25"/>
    <row r="23" spans="1:15" ht="28.7" customHeight="1" x14ac:dyDescent="0.25"/>
    <row r="24" spans="1:15" ht="28.7" customHeight="1" x14ac:dyDescent="0.25"/>
    <row r="25" spans="1:15" ht="28.7" customHeight="1" x14ac:dyDescent="0.25"/>
    <row r="26" spans="1:15" ht="28.7" customHeight="1" x14ac:dyDescent="0.25"/>
    <row r="27" spans="1:15" ht="28.7" customHeight="1" x14ac:dyDescent="0.25"/>
    <row r="28" spans="1:15" ht="28.7" customHeight="1" x14ac:dyDescent="0.25"/>
    <row r="29" spans="1:15" ht="28.7" customHeight="1" x14ac:dyDescent="0.25"/>
    <row r="30" spans="1:15" ht="28.7" customHeight="1" x14ac:dyDescent="0.25"/>
    <row r="31" spans="1:15" ht="28.7" customHeight="1" x14ac:dyDescent="0.25"/>
    <row r="32" spans="1:15" ht="28.7" customHeight="1" x14ac:dyDescent="0.25"/>
    <row r="33" ht="28.7" customHeight="1" x14ac:dyDescent="0.25"/>
    <row r="34" ht="28.7" customHeight="1" x14ac:dyDescent="0.25"/>
    <row r="35" ht="28.7" customHeight="1" x14ac:dyDescent="0.25"/>
    <row r="36" ht="28.7" customHeight="1" x14ac:dyDescent="0.25"/>
    <row r="37" ht="28.7" customHeight="1" x14ac:dyDescent="0.25"/>
    <row r="38" ht="28.7" customHeight="1" x14ac:dyDescent="0.25"/>
    <row r="39" ht="28.7" customHeight="1" x14ac:dyDescent="0.25"/>
    <row r="40" ht="28.7" customHeight="1" x14ac:dyDescent="0.25"/>
    <row r="41" ht="28.7" customHeight="1" x14ac:dyDescent="0.25"/>
    <row r="42" ht="28.7" customHeight="1" x14ac:dyDescent="0.25"/>
    <row r="43" ht="28.7" customHeight="1" x14ac:dyDescent="0.25"/>
    <row r="44" ht="28.7" customHeight="1" x14ac:dyDescent="0.25"/>
    <row r="45" ht="28.7" customHeight="1" x14ac:dyDescent="0.25"/>
    <row r="46" ht="28.7" customHeight="1" x14ac:dyDescent="0.25"/>
    <row r="47" ht="28.7" customHeight="1" x14ac:dyDescent="0.25"/>
    <row r="48" ht="28.7" customHeight="1" x14ac:dyDescent="0.25"/>
    <row r="49" ht="28.7" customHeight="1" x14ac:dyDescent="0.25"/>
    <row r="50" ht="28.7" customHeight="1" x14ac:dyDescent="0.25"/>
    <row r="51" ht="28.7" customHeight="1" x14ac:dyDescent="0.25"/>
    <row r="52" ht="28.7" customHeight="1" x14ac:dyDescent="0.25"/>
    <row r="53" ht="28.7" customHeight="1" x14ac:dyDescent="0.25"/>
    <row r="54" ht="28.7" customHeight="1" x14ac:dyDescent="0.25"/>
    <row r="55" ht="28.7" customHeight="1" x14ac:dyDescent="0.25"/>
    <row r="56" ht="28.7" customHeight="1" x14ac:dyDescent="0.25"/>
    <row r="57" ht="28.7" customHeight="1" x14ac:dyDescent="0.25"/>
    <row r="58" ht="28.7" customHeight="1" x14ac:dyDescent="0.25"/>
    <row r="59" ht="28.7" customHeight="1" x14ac:dyDescent="0.25"/>
    <row r="60" ht="28.7" customHeight="1" x14ac:dyDescent="0.25"/>
    <row r="61" ht="28.7" customHeight="1" x14ac:dyDescent="0.25"/>
    <row r="62" ht="28.7" customHeight="1" x14ac:dyDescent="0.25"/>
    <row r="63" ht="28.7" customHeight="1" x14ac:dyDescent="0.25"/>
    <row r="64" ht="28.7" customHeight="1" x14ac:dyDescent="0.25"/>
    <row r="65" ht="28.7" customHeight="1" x14ac:dyDescent="0.25"/>
    <row r="66" ht="28.7" customHeight="1" x14ac:dyDescent="0.25"/>
    <row r="67" ht="28.7" customHeight="1" x14ac:dyDescent="0.25"/>
    <row r="68" ht="28.7" customHeight="1" x14ac:dyDescent="0.25"/>
    <row r="69" ht="28.7" customHeight="1" x14ac:dyDescent="0.25"/>
    <row r="70" ht="28.7" customHeight="1" x14ac:dyDescent="0.25"/>
    <row r="71" ht="28.7" customHeight="1" x14ac:dyDescent="0.25"/>
    <row r="72" ht="28.7" customHeight="1" x14ac:dyDescent="0.25"/>
    <row r="73" ht="28.7" customHeight="1" x14ac:dyDescent="0.25"/>
    <row r="74" ht="28.7" customHeight="1" x14ac:dyDescent="0.25"/>
    <row r="75" ht="28.7" customHeight="1" x14ac:dyDescent="0.25"/>
    <row r="76" ht="28.7" customHeight="1" x14ac:dyDescent="0.25"/>
    <row r="77" ht="28.7" customHeight="1" x14ac:dyDescent="0.25"/>
    <row r="78" ht="28.7" customHeight="1" x14ac:dyDescent="0.25"/>
    <row r="79" ht="28.7" customHeight="1" x14ac:dyDescent="0.25"/>
    <row r="80" ht="28.7" customHeight="1" x14ac:dyDescent="0.25"/>
    <row r="81" ht="28.7" customHeight="1" x14ac:dyDescent="0.25"/>
    <row r="82" ht="28.7" customHeight="1" x14ac:dyDescent="0.25"/>
    <row r="83" ht="28.7" customHeight="1" x14ac:dyDescent="0.25"/>
    <row r="84" ht="28.7" customHeight="1" x14ac:dyDescent="0.25"/>
    <row r="85" ht="28.7" customHeight="1" x14ac:dyDescent="0.25"/>
    <row r="86" ht="28.7" customHeight="1" x14ac:dyDescent="0.25"/>
    <row r="87" ht="28.7" customHeight="1" x14ac:dyDescent="0.25"/>
    <row r="88" ht="28.7" customHeight="1" x14ac:dyDescent="0.25"/>
    <row r="89" ht="28.7" customHeight="1" x14ac:dyDescent="0.25"/>
    <row r="90" ht="28.7" customHeight="1" x14ac:dyDescent="0.25"/>
    <row r="91" ht="28.7" customHeight="1" x14ac:dyDescent="0.25"/>
    <row r="92" ht="28.7" customHeight="1" x14ac:dyDescent="0.25"/>
    <row r="93" ht="28.7" customHeight="1" x14ac:dyDescent="0.25"/>
    <row r="94" ht="28.7" customHeight="1" x14ac:dyDescent="0.25"/>
    <row r="95" ht="28.7" customHeight="1" x14ac:dyDescent="0.25"/>
    <row r="96" ht="28.7" customHeight="1" x14ac:dyDescent="0.25"/>
    <row r="97" ht="28.7" customHeight="1" x14ac:dyDescent="0.25"/>
    <row r="98" ht="28.7" customHeight="1" x14ac:dyDescent="0.25"/>
    <row r="99" ht="28.7" customHeight="1" x14ac:dyDescent="0.25"/>
    <row r="100" ht="28.7" customHeight="1" x14ac:dyDescent="0.25"/>
    <row r="101" ht="28.7" customHeight="1" x14ac:dyDescent="0.25"/>
    <row r="102" ht="28.7" customHeight="1" x14ac:dyDescent="0.25"/>
    <row r="103" ht="28.7" customHeight="1" x14ac:dyDescent="0.25"/>
    <row r="104" ht="28.7" customHeight="1" x14ac:dyDescent="0.25"/>
    <row r="105" ht="28.7" customHeight="1" x14ac:dyDescent="0.25"/>
    <row r="106" ht="28.7" customHeight="1" x14ac:dyDescent="0.25"/>
    <row r="107" ht="28.7" customHeight="1" x14ac:dyDescent="0.25"/>
    <row r="108" ht="28.7" customHeight="1" x14ac:dyDescent="0.25"/>
    <row r="109" ht="28.7" customHeight="1" x14ac:dyDescent="0.25"/>
    <row r="110" ht="28.7" customHeight="1" x14ac:dyDescent="0.25"/>
    <row r="111" ht="28.7" customHeight="1" x14ac:dyDescent="0.25"/>
    <row r="112" ht="28.7" customHeight="1" x14ac:dyDescent="0.25"/>
    <row r="113" ht="28.7" customHeight="1" x14ac:dyDescent="0.25"/>
    <row r="114" ht="28.7" customHeight="1" x14ac:dyDescent="0.25"/>
    <row r="115" ht="28.7" customHeight="1" x14ac:dyDescent="0.25"/>
    <row r="116" ht="28.7" customHeight="1" x14ac:dyDescent="0.25"/>
    <row r="117" ht="28.7" customHeight="1" x14ac:dyDescent="0.25"/>
    <row r="118" ht="28.7" customHeight="1" x14ac:dyDescent="0.25"/>
    <row r="119" ht="28.7" customHeight="1" x14ac:dyDescent="0.25"/>
    <row r="120" ht="28.7" customHeight="1" x14ac:dyDescent="0.25"/>
    <row r="121" ht="28.7" customHeight="1" x14ac:dyDescent="0.25"/>
    <row r="122" ht="28.7" customHeight="1" x14ac:dyDescent="0.25"/>
    <row r="123" ht="28.7" customHeight="1" x14ac:dyDescent="0.25"/>
    <row r="124" ht="28.7" customHeight="1" x14ac:dyDescent="0.25"/>
    <row r="125" ht="28.7" customHeight="1" x14ac:dyDescent="0.25"/>
    <row r="126" ht="28.7" customHeight="1" x14ac:dyDescent="0.25"/>
    <row r="127" ht="28.7" customHeight="1" x14ac:dyDescent="0.25"/>
    <row r="128" ht="28.7" customHeight="1" x14ac:dyDescent="0.25"/>
    <row r="129" ht="28.7" customHeight="1" x14ac:dyDescent="0.25"/>
    <row r="130" ht="28.7" customHeight="1" x14ac:dyDescent="0.25"/>
    <row r="131" ht="28.7" customHeight="1" x14ac:dyDescent="0.25"/>
    <row r="132" ht="28.7" customHeight="1" x14ac:dyDescent="0.25"/>
    <row r="133" ht="28.7" customHeight="1" x14ac:dyDescent="0.25"/>
    <row r="134" ht="28.7" customHeight="1" x14ac:dyDescent="0.25"/>
    <row r="135" ht="28.7" customHeight="1" x14ac:dyDescent="0.25"/>
    <row r="136" ht="28.7" customHeight="1" x14ac:dyDescent="0.25"/>
    <row r="137" ht="28.7" customHeight="1" x14ac:dyDescent="0.25"/>
    <row r="138" ht="28.7" customHeight="1" x14ac:dyDescent="0.25"/>
    <row r="139" ht="28.7" customHeight="1" x14ac:dyDescent="0.25"/>
    <row r="140" ht="28.7" customHeight="1" x14ac:dyDescent="0.25"/>
    <row r="141" ht="28.7" customHeight="1" x14ac:dyDescent="0.25"/>
    <row r="142" ht="28.7" customHeight="1" x14ac:dyDescent="0.25"/>
    <row r="143" ht="28.7" customHeight="1" x14ac:dyDescent="0.25"/>
    <row r="144" ht="28.7" customHeight="1" x14ac:dyDescent="0.25"/>
    <row r="145" ht="28.7" customHeight="1" x14ac:dyDescent="0.25"/>
    <row r="146" ht="28.7" customHeight="1" x14ac:dyDescent="0.25"/>
    <row r="147" ht="28.7" customHeight="1" x14ac:dyDescent="0.25"/>
    <row r="148" ht="28.7" customHeight="1" x14ac:dyDescent="0.25"/>
    <row r="149" ht="28.7" customHeight="1" x14ac:dyDescent="0.25"/>
    <row r="150" ht="28.7" customHeight="1" x14ac:dyDescent="0.25"/>
    <row r="151" ht="28.7" customHeight="1" x14ac:dyDescent="0.25"/>
    <row r="152" ht="28.7" customHeight="1" x14ac:dyDescent="0.25"/>
    <row r="153" ht="28.7" customHeight="1" x14ac:dyDescent="0.25"/>
    <row r="154" ht="28.7" customHeight="1" x14ac:dyDescent="0.25"/>
    <row r="155" ht="28.7" customHeight="1" x14ac:dyDescent="0.25"/>
    <row r="156" ht="28.7" customHeight="1" x14ac:dyDescent="0.25"/>
    <row r="157" ht="28.7" customHeight="1" x14ac:dyDescent="0.25"/>
    <row r="158" ht="28.7" customHeight="1" x14ac:dyDescent="0.25"/>
    <row r="159" ht="28.7" customHeight="1" x14ac:dyDescent="0.25"/>
    <row r="160" ht="28.7" customHeight="1" x14ac:dyDescent="0.25"/>
    <row r="161" ht="28.7" customHeight="1" x14ac:dyDescent="0.25"/>
    <row r="162" ht="28.7" customHeight="1" x14ac:dyDescent="0.25"/>
    <row r="163" ht="28.7" customHeight="1" x14ac:dyDescent="0.25"/>
    <row r="164" ht="28.7" customHeight="1" x14ac:dyDescent="0.25"/>
    <row r="165" ht="28.7" customHeight="1" x14ac:dyDescent="0.25"/>
    <row r="166" ht="28.7" customHeight="1" x14ac:dyDescent="0.25"/>
    <row r="167" ht="28.7" customHeight="1" x14ac:dyDescent="0.25"/>
    <row r="168" ht="28.7" customHeight="1" x14ac:dyDescent="0.25"/>
    <row r="169" ht="28.7" customHeight="1" x14ac:dyDescent="0.25"/>
    <row r="170" ht="28.7" customHeight="1" x14ac:dyDescent="0.25"/>
    <row r="171" ht="28.7" customHeight="1" x14ac:dyDescent="0.25"/>
    <row r="172" ht="28.7" customHeight="1" x14ac:dyDescent="0.25"/>
    <row r="173" ht="28.7" customHeight="1" x14ac:dyDescent="0.25"/>
    <row r="174" ht="28.7" customHeight="1" x14ac:dyDescent="0.25"/>
    <row r="175" ht="28.7" customHeight="1" x14ac:dyDescent="0.25"/>
    <row r="176" ht="28.7" customHeight="1" x14ac:dyDescent="0.25"/>
    <row r="177" ht="28.7" customHeight="1" x14ac:dyDescent="0.25"/>
    <row r="178" ht="28.7" customHeight="1" x14ac:dyDescent="0.25"/>
    <row r="179" ht="28.7" customHeight="1" x14ac:dyDescent="0.25"/>
    <row r="180" ht="28.7" customHeight="1" x14ac:dyDescent="0.25"/>
    <row r="181" ht="28.7" customHeight="1" x14ac:dyDescent="0.25"/>
    <row r="182" ht="28.7" customHeight="1" x14ac:dyDescent="0.25"/>
    <row r="183" ht="28.7" customHeight="1" x14ac:dyDescent="0.25"/>
    <row r="184" ht="28.7" customHeight="1" x14ac:dyDescent="0.25"/>
    <row r="185" ht="28.7" customHeight="1" x14ac:dyDescent="0.25"/>
    <row r="186" ht="28.7" customHeight="1" x14ac:dyDescent="0.25"/>
    <row r="187" ht="28.7" customHeight="1" x14ac:dyDescent="0.25"/>
    <row r="188" ht="28.7" customHeight="1" x14ac:dyDescent="0.25"/>
    <row r="189" ht="28.7" customHeight="1" x14ac:dyDescent="0.25"/>
    <row r="190" ht="28.7" customHeight="1" x14ac:dyDescent="0.25"/>
    <row r="191" ht="28.7" customHeight="1" x14ac:dyDescent="0.25"/>
    <row r="192" ht="28.7" customHeight="1" x14ac:dyDescent="0.25"/>
    <row r="193" ht="28.7" customHeight="1" x14ac:dyDescent="0.25"/>
    <row r="194" ht="28.7" customHeight="1" x14ac:dyDescent="0.25"/>
    <row r="195" ht="28.7" customHeight="1" x14ac:dyDescent="0.25"/>
    <row r="196" ht="28.7" customHeight="1" x14ac:dyDescent="0.25"/>
    <row r="197" ht="28.7" customHeight="1" x14ac:dyDescent="0.25"/>
    <row r="198" ht="28.7" customHeight="1" x14ac:dyDescent="0.25"/>
    <row r="199" ht="28.7" customHeight="1" x14ac:dyDescent="0.25"/>
    <row r="200" ht="28.7" customHeight="1" x14ac:dyDescent="0.25"/>
    <row r="201" ht="28.7" customHeight="1" x14ac:dyDescent="0.25"/>
    <row r="202" ht="28.7" customHeight="1" x14ac:dyDescent="0.25"/>
    <row r="203" ht="28.7" customHeight="1" x14ac:dyDescent="0.25"/>
    <row r="204" ht="28.7" customHeight="1" x14ac:dyDescent="0.25"/>
    <row r="205" ht="28.7" customHeight="1" x14ac:dyDescent="0.25"/>
    <row r="206" ht="28.7" customHeight="1" x14ac:dyDescent="0.25"/>
    <row r="207" ht="28.7" customHeight="1" x14ac:dyDescent="0.25"/>
    <row r="208" ht="28.7" customHeight="1" x14ac:dyDescent="0.25"/>
    <row r="209" ht="28.7" customHeight="1" x14ac:dyDescent="0.25"/>
    <row r="210" ht="28.7" customHeight="1" x14ac:dyDescent="0.25"/>
    <row r="211" ht="28.7" customHeight="1" x14ac:dyDescent="0.25"/>
    <row r="212" ht="28.7" customHeight="1" x14ac:dyDescent="0.25"/>
    <row r="213" ht="28.7" customHeight="1" x14ac:dyDescent="0.25"/>
    <row r="214" ht="28.7" customHeight="1" x14ac:dyDescent="0.25"/>
    <row r="215" ht="28.7" customHeight="1" x14ac:dyDescent="0.25"/>
    <row r="216" ht="28.7" customHeight="1" x14ac:dyDescent="0.25"/>
    <row r="217" ht="28.7" customHeight="1" x14ac:dyDescent="0.25"/>
    <row r="218" ht="28.7" customHeight="1" x14ac:dyDescent="0.25"/>
    <row r="219" ht="28.7" customHeight="1" x14ac:dyDescent="0.25"/>
    <row r="220" ht="28.7" customHeight="1" x14ac:dyDescent="0.25"/>
    <row r="221" ht="28.7" customHeight="1" x14ac:dyDescent="0.25"/>
    <row r="222" ht="28.7" customHeight="1" x14ac:dyDescent="0.25"/>
    <row r="223" ht="28.7" customHeight="1" x14ac:dyDescent="0.25"/>
    <row r="224" ht="28.7" customHeight="1" x14ac:dyDescent="0.25"/>
    <row r="225" ht="28.7" customHeight="1" x14ac:dyDescent="0.25"/>
    <row r="226" ht="28.7" customHeight="1" x14ac:dyDescent="0.25"/>
    <row r="227" ht="28.7" customHeight="1" x14ac:dyDescent="0.25"/>
    <row r="228" ht="28.7" customHeight="1" x14ac:dyDescent="0.25"/>
    <row r="229" ht="28.7" customHeight="1" x14ac:dyDescent="0.25"/>
    <row r="230" ht="28.7" customHeight="1" x14ac:dyDescent="0.25"/>
    <row r="231" ht="28.7" customHeight="1" x14ac:dyDescent="0.25"/>
    <row r="232" ht="28.7" customHeight="1" x14ac:dyDescent="0.25"/>
    <row r="233" ht="28.7" customHeight="1" x14ac:dyDescent="0.25"/>
    <row r="234" ht="28.7" customHeight="1" x14ac:dyDescent="0.25"/>
    <row r="235" ht="28.7" customHeight="1" x14ac:dyDescent="0.25"/>
    <row r="236" ht="28.7" customHeight="1" x14ac:dyDescent="0.25"/>
    <row r="237" ht="28.7" customHeight="1" x14ac:dyDescent="0.25"/>
    <row r="238" ht="28.7" customHeight="1" x14ac:dyDescent="0.25"/>
    <row r="239" ht="28.7" customHeight="1" x14ac:dyDescent="0.25"/>
    <row r="240" ht="28.7" customHeight="1" x14ac:dyDescent="0.25"/>
    <row r="241" ht="28.7" customHeight="1" x14ac:dyDescent="0.25"/>
    <row r="242" ht="28.7" customHeight="1" x14ac:dyDescent="0.25"/>
    <row r="243" ht="28.7" customHeight="1" x14ac:dyDescent="0.25"/>
    <row r="244" ht="28.7" customHeight="1" x14ac:dyDescent="0.25"/>
    <row r="245" ht="28.7" customHeight="1" x14ac:dyDescent="0.25"/>
    <row r="246" ht="28.7" customHeight="1" x14ac:dyDescent="0.25"/>
    <row r="247" ht="28.7" customHeight="1" x14ac:dyDescent="0.25"/>
    <row r="248" ht="28.7" customHeight="1" x14ac:dyDescent="0.25"/>
    <row r="249" ht="28.7" customHeight="1" x14ac:dyDescent="0.25"/>
    <row r="250" ht="28.7" customHeight="1" x14ac:dyDescent="0.25"/>
    <row r="251" ht="28.7" customHeight="1" x14ac:dyDescent="0.25"/>
    <row r="252" ht="28.7" customHeight="1" x14ac:dyDescent="0.25"/>
    <row r="253" ht="28.7" customHeight="1" x14ac:dyDescent="0.25"/>
    <row r="254" ht="28.7" customHeight="1" x14ac:dyDescent="0.25"/>
    <row r="255" ht="28.7" customHeight="1" x14ac:dyDescent="0.25"/>
    <row r="256" ht="28.7" customHeight="1" x14ac:dyDescent="0.25"/>
    <row r="257" ht="28.7" customHeight="1" x14ac:dyDescent="0.25"/>
    <row r="258" ht="28.7" customHeight="1" x14ac:dyDescent="0.25"/>
    <row r="259" ht="28.7" customHeight="1" x14ac:dyDescent="0.25"/>
    <row r="260" ht="28.7" customHeight="1" x14ac:dyDescent="0.25"/>
    <row r="261" ht="28.7" customHeight="1" x14ac:dyDescent="0.25"/>
    <row r="262" ht="28.7" customHeight="1" x14ac:dyDescent="0.25"/>
    <row r="263" ht="28.7" customHeight="1" x14ac:dyDescent="0.25"/>
    <row r="264" ht="28.7" customHeight="1" x14ac:dyDescent="0.25"/>
    <row r="265" ht="28.7" customHeight="1" x14ac:dyDescent="0.25"/>
    <row r="266" ht="28.7" customHeight="1" x14ac:dyDescent="0.25"/>
    <row r="267" ht="28.7" customHeight="1" x14ac:dyDescent="0.25"/>
    <row r="268" ht="28.7" customHeight="1" x14ac:dyDescent="0.25"/>
    <row r="269" ht="28.7" customHeight="1" x14ac:dyDescent="0.25"/>
    <row r="270" ht="28.7" customHeight="1" x14ac:dyDescent="0.25"/>
    <row r="271" ht="28.7" customHeight="1" x14ac:dyDescent="0.25"/>
    <row r="272" ht="28.7" customHeight="1" x14ac:dyDescent="0.25"/>
    <row r="273" ht="28.7" customHeight="1" x14ac:dyDescent="0.25"/>
    <row r="274" ht="28.7" customHeight="1" x14ac:dyDescent="0.25"/>
    <row r="275" ht="28.7" customHeight="1" x14ac:dyDescent="0.25"/>
    <row r="276" ht="28.7" customHeight="1" x14ac:dyDescent="0.25"/>
    <row r="277" ht="28.7" customHeight="1" x14ac:dyDescent="0.25"/>
    <row r="278" ht="28.7" customHeight="1" x14ac:dyDescent="0.25"/>
    <row r="279" ht="28.7" customHeight="1" x14ac:dyDescent="0.25"/>
    <row r="280" ht="28.7" customHeight="1" x14ac:dyDescent="0.25"/>
    <row r="281" ht="28.7" customHeight="1" x14ac:dyDescent="0.25"/>
    <row r="282" ht="28.7" customHeight="1" x14ac:dyDescent="0.25"/>
    <row r="283" ht="28.7" customHeight="1" x14ac:dyDescent="0.25"/>
    <row r="284" ht="28.7" customHeight="1" x14ac:dyDescent="0.25"/>
    <row r="285" ht="28.7" customHeight="1" x14ac:dyDescent="0.25"/>
    <row r="286" ht="28.7" customHeight="1" x14ac:dyDescent="0.25"/>
    <row r="287" ht="28.7" customHeight="1" x14ac:dyDescent="0.25"/>
    <row r="288" ht="28.7" customHeight="1" x14ac:dyDescent="0.25"/>
    <row r="289" ht="28.7" customHeight="1" x14ac:dyDescent="0.25"/>
    <row r="290" ht="28.7" customHeight="1" x14ac:dyDescent="0.25"/>
    <row r="291" ht="28.7" customHeight="1" x14ac:dyDescent="0.25"/>
    <row r="292" ht="28.7" customHeight="1" x14ac:dyDescent="0.25"/>
    <row r="293" ht="28.7" customHeight="1" x14ac:dyDescent="0.25"/>
    <row r="294" ht="28.7" customHeight="1" x14ac:dyDescent="0.25"/>
    <row r="295" ht="28.7" customHeight="1" x14ac:dyDescent="0.25"/>
    <row r="296" ht="28.7" customHeight="1" x14ac:dyDescent="0.25"/>
    <row r="297" ht="28.7" customHeight="1" x14ac:dyDescent="0.25"/>
    <row r="298" ht="28.7" customHeight="1" x14ac:dyDescent="0.25"/>
    <row r="299" ht="28.7" customHeight="1" x14ac:dyDescent="0.25"/>
    <row r="300" ht="28.7" customHeight="1" x14ac:dyDescent="0.25"/>
    <row r="301" ht="28.7" customHeight="1" x14ac:dyDescent="0.25"/>
    <row r="302" ht="28.7" customHeight="1" x14ac:dyDescent="0.25"/>
    <row r="303" ht="28.7" customHeight="1" x14ac:dyDescent="0.25"/>
    <row r="304" ht="28.7" customHeight="1" x14ac:dyDescent="0.25"/>
    <row r="305" ht="28.7" customHeight="1" x14ac:dyDescent="0.25"/>
    <row r="306" ht="28.7" customHeight="1" x14ac:dyDescent="0.25"/>
    <row r="307" ht="28.7" customHeight="1" x14ac:dyDescent="0.25"/>
    <row r="308" ht="28.7" customHeight="1" x14ac:dyDescent="0.25"/>
    <row r="309" ht="28.7" customHeight="1" x14ac:dyDescent="0.25"/>
    <row r="310" ht="28.7" customHeight="1" x14ac:dyDescent="0.25"/>
    <row r="311" ht="28.7" customHeight="1" x14ac:dyDescent="0.25"/>
    <row r="312" ht="28.7" customHeight="1" x14ac:dyDescent="0.25"/>
    <row r="313" ht="28.7" customHeight="1" x14ac:dyDescent="0.25"/>
    <row r="314" ht="28.7" customHeight="1" x14ac:dyDescent="0.25"/>
    <row r="315" ht="28.7" customHeight="1" x14ac:dyDescent="0.25"/>
    <row r="316" ht="28.7" customHeight="1" x14ac:dyDescent="0.25"/>
    <row r="317" ht="28.7" customHeight="1" x14ac:dyDescent="0.25"/>
    <row r="318" ht="28.7" customHeight="1" x14ac:dyDescent="0.25"/>
    <row r="319" ht="28.7" customHeight="1" x14ac:dyDescent="0.25"/>
    <row r="320" ht="28.7" customHeight="1" x14ac:dyDescent="0.25"/>
    <row r="321" ht="28.7" customHeight="1" x14ac:dyDescent="0.25"/>
    <row r="322" ht="28.7" customHeight="1" x14ac:dyDescent="0.25"/>
    <row r="323" ht="28.7" customHeight="1" x14ac:dyDescent="0.25"/>
    <row r="324" ht="28.7" customHeight="1" x14ac:dyDescent="0.25"/>
    <row r="325" ht="28.7" customHeight="1" x14ac:dyDescent="0.25"/>
    <row r="326" ht="28.7" customHeight="1" x14ac:dyDescent="0.25"/>
    <row r="327" ht="28.7" customHeight="1" x14ac:dyDescent="0.25"/>
    <row r="328" ht="28.7" customHeight="1" x14ac:dyDescent="0.25"/>
    <row r="329" ht="28.7" customHeight="1" x14ac:dyDescent="0.25"/>
    <row r="330" ht="28.7" customHeight="1" x14ac:dyDescent="0.25"/>
    <row r="331" ht="28.7" customHeight="1" x14ac:dyDescent="0.25"/>
    <row r="332" ht="28.7" customHeight="1" x14ac:dyDescent="0.25"/>
    <row r="333" ht="28.7" customHeight="1" x14ac:dyDescent="0.25"/>
    <row r="334" ht="28.7" customHeight="1" x14ac:dyDescent="0.25"/>
    <row r="335" ht="28.7" customHeight="1" x14ac:dyDescent="0.25"/>
    <row r="336" ht="28.7" customHeight="1" x14ac:dyDescent="0.25"/>
    <row r="337" ht="28.7" customHeight="1" x14ac:dyDescent="0.25"/>
    <row r="338" ht="28.7" customHeight="1" x14ac:dyDescent="0.25"/>
    <row r="339" ht="28.7" customHeight="1" x14ac:dyDescent="0.25"/>
    <row r="340" ht="28.7" customHeight="1" x14ac:dyDescent="0.25"/>
    <row r="341" ht="28.7" customHeight="1" x14ac:dyDescent="0.25"/>
    <row r="342" ht="28.7" customHeight="1" x14ac:dyDescent="0.25"/>
    <row r="343" ht="28.7" customHeight="1" x14ac:dyDescent="0.25"/>
    <row r="344" ht="28.7" customHeight="1" x14ac:dyDescent="0.25"/>
    <row r="345" ht="28.7" customHeight="1" x14ac:dyDescent="0.25"/>
    <row r="346" ht="28.7" customHeight="1" x14ac:dyDescent="0.25"/>
    <row r="347" ht="28.7" customHeight="1" x14ac:dyDescent="0.25"/>
    <row r="348" ht="28.7" customHeight="1" x14ac:dyDescent="0.25"/>
    <row r="349" ht="28.7" customHeight="1" x14ac:dyDescent="0.25"/>
    <row r="350" ht="28.7" customHeight="1" x14ac:dyDescent="0.25"/>
    <row r="351" ht="28.7" customHeight="1" x14ac:dyDescent="0.25"/>
    <row r="352" ht="28.7" customHeight="1" x14ac:dyDescent="0.25"/>
    <row r="353" ht="28.7" customHeight="1" x14ac:dyDescent="0.25"/>
    <row r="354" ht="28.7" customHeight="1" x14ac:dyDescent="0.25"/>
    <row r="355" ht="28.7" customHeight="1" x14ac:dyDescent="0.25"/>
    <row r="356" ht="28.7" customHeight="1" x14ac:dyDescent="0.25"/>
    <row r="357" ht="28.7" customHeight="1" x14ac:dyDescent="0.25"/>
    <row r="358" ht="28.7" customHeight="1" x14ac:dyDescent="0.25"/>
    <row r="359" ht="28.7" customHeight="1" x14ac:dyDescent="0.25"/>
    <row r="360" ht="28.7" customHeight="1" x14ac:dyDescent="0.25"/>
    <row r="361" ht="28.7" customHeight="1" x14ac:dyDescent="0.25"/>
    <row r="362" ht="28.7" customHeight="1" x14ac:dyDescent="0.25"/>
    <row r="363" ht="28.7" customHeight="1" x14ac:dyDescent="0.25"/>
    <row r="364" ht="28.7" customHeight="1" x14ac:dyDescent="0.25"/>
    <row r="365" ht="28.7" customHeight="1" x14ac:dyDescent="0.25"/>
    <row r="366" ht="28.7" customHeight="1" x14ac:dyDescent="0.25"/>
    <row r="367" ht="28.7" customHeight="1" x14ac:dyDescent="0.25"/>
    <row r="368" ht="28.7" customHeight="1" x14ac:dyDescent="0.25"/>
    <row r="369" ht="28.7" customHeight="1" x14ac:dyDescent="0.25"/>
    <row r="370" ht="28.7" customHeight="1" x14ac:dyDescent="0.25"/>
    <row r="371" ht="28.7" customHeight="1" x14ac:dyDescent="0.25"/>
    <row r="372" ht="28.7" customHeight="1" x14ac:dyDescent="0.25"/>
    <row r="373" ht="28.7" customHeight="1" x14ac:dyDescent="0.25"/>
    <row r="374" ht="28.7" customHeight="1" x14ac:dyDescent="0.25"/>
    <row r="375" ht="28.7" customHeight="1" x14ac:dyDescent="0.25"/>
    <row r="376" ht="28.7" customHeight="1" x14ac:dyDescent="0.25"/>
    <row r="377" ht="28.7" customHeight="1" x14ac:dyDescent="0.25"/>
    <row r="378" ht="28.7" customHeight="1" x14ac:dyDescent="0.25"/>
    <row r="379" ht="28.7" customHeight="1" x14ac:dyDescent="0.25"/>
    <row r="380" ht="28.7" customHeight="1" x14ac:dyDescent="0.25"/>
    <row r="381" ht="28.7" customHeight="1" x14ac:dyDescent="0.25"/>
    <row r="382" ht="28.7" customHeight="1" x14ac:dyDescent="0.25"/>
    <row r="383" ht="28.7" customHeight="1" x14ac:dyDescent="0.25"/>
    <row r="384" ht="28.7" customHeight="1" x14ac:dyDescent="0.25"/>
    <row r="385" ht="28.7" customHeight="1" x14ac:dyDescent="0.25"/>
    <row r="386" ht="28.7" customHeight="1" x14ac:dyDescent="0.25"/>
    <row r="387" ht="28.7" customHeight="1" x14ac:dyDescent="0.25"/>
    <row r="388" ht="28.7" customHeight="1" x14ac:dyDescent="0.25"/>
    <row r="389" ht="28.7" customHeight="1" x14ac:dyDescent="0.25"/>
    <row r="390" ht="28.7" customHeight="1" x14ac:dyDescent="0.25"/>
    <row r="391" ht="28.7" customHeight="1" x14ac:dyDescent="0.25"/>
    <row r="392" ht="28.7" customHeight="1" x14ac:dyDescent="0.25"/>
    <row r="393" ht="28.7" customHeight="1" x14ac:dyDescent="0.25"/>
    <row r="394" ht="28.7" customHeight="1" x14ac:dyDescent="0.25"/>
    <row r="395" ht="28.7" customHeight="1" x14ac:dyDescent="0.25"/>
    <row r="396" ht="28.7" customHeight="1" x14ac:dyDescent="0.25"/>
    <row r="397" ht="28.7" customHeight="1" x14ac:dyDescent="0.25"/>
    <row r="398" ht="28.7" customHeight="1" x14ac:dyDescent="0.25"/>
    <row r="399" ht="28.7" customHeight="1" x14ac:dyDescent="0.25"/>
    <row r="400" ht="28.7" customHeight="1" x14ac:dyDescent="0.25"/>
    <row r="401" ht="28.7" customHeight="1" x14ac:dyDescent="0.25"/>
    <row r="402" ht="28.7" customHeight="1" x14ac:dyDescent="0.25"/>
    <row r="403" ht="28.7" customHeight="1" x14ac:dyDescent="0.25"/>
    <row r="404" ht="28.7" customHeight="1" x14ac:dyDescent="0.25"/>
    <row r="405" ht="28.7" customHeight="1" x14ac:dyDescent="0.25"/>
    <row r="406" ht="28.7" customHeight="1" x14ac:dyDescent="0.25"/>
    <row r="407" ht="28.7" customHeight="1" x14ac:dyDescent="0.25"/>
    <row r="408" ht="28.7" customHeight="1" x14ac:dyDescent="0.25"/>
    <row r="409" ht="28.7" customHeight="1" x14ac:dyDescent="0.25"/>
    <row r="410" ht="28.7" customHeight="1" x14ac:dyDescent="0.25"/>
    <row r="411" ht="28.7" customHeight="1" x14ac:dyDescent="0.25"/>
    <row r="412" ht="28.7" customHeight="1" x14ac:dyDescent="0.25"/>
    <row r="413" ht="28.7" customHeight="1" x14ac:dyDescent="0.25"/>
    <row r="414" ht="28.7" customHeight="1" x14ac:dyDescent="0.25"/>
    <row r="415" ht="28.7" customHeight="1" x14ac:dyDescent="0.25"/>
    <row r="416" ht="28.7" customHeight="1" x14ac:dyDescent="0.25"/>
    <row r="417" ht="28.7" customHeight="1" x14ac:dyDescent="0.25"/>
    <row r="418" ht="28.7" customHeight="1" x14ac:dyDescent="0.25"/>
    <row r="419" ht="28.7" customHeight="1" x14ac:dyDescent="0.25"/>
    <row r="420" ht="28.7" customHeight="1" x14ac:dyDescent="0.25"/>
    <row r="421" ht="28.7" customHeight="1" x14ac:dyDescent="0.25"/>
    <row r="422" ht="28.7" customHeight="1" x14ac:dyDescent="0.25"/>
    <row r="423" ht="28.7" customHeight="1" x14ac:dyDescent="0.25"/>
    <row r="424" ht="28.7" customHeight="1" x14ac:dyDescent="0.25"/>
    <row r="425" ht="28.7" customHeight="1" x14ac:dyDescent="0.25"/>
    <row r="426" ht="28.7" customHeight="1" x14ac:dyDescent="0.25"/>
    <row r="427" ht="28.7" customHeight="1" x14ac:dyDescent="0.25"/>
    <row r="428" ht="28.7" customHeight="1" x14ac:dyDescent="0.25"/>
    <row r="429" ht="28.7" customHeight="1" x14ac:dyDescent="0.25"/>
    <row r="430" ht="28.7" customHeight="1" x14ac:dyDescent="0.25"/>
    <row r="431" ht="28.7" customHeight="1" x14ac:dyDescent="0.25"/>
    <row r="432" ht="28.7" customHeight="1" x14ac:dyDescent="0.25"/>
    <row r="433" ht="28.7" customHeight="1" x14ac:dyDescent="0.25"/>
    <row r="434" ht="28.7" customHeight="1" x14ac:dyDescent="0.25"/>
    <row r="435" ht="28.7" customHeight="1" x14ac:dyDescent="0.25"/>
    <row r="436" ht="28.7" customHeight="1" x14ac:dyDescent="0.25"/>
    <row r="437" ht="28.7" customHeight="1" x14ac:dyDescent="0.25"/>
    <row r="438" ht="28.7" customHeight="1" x14ac:dyDescent="0.25"/>
    <row r="439" ht="28.7" customHeight="1" x14ac:dyDescent="0.25"/>
    <row r="440" ht="28.7" customHeight="1" x14ac:dyDescent="0.25"/>
    <row r="441" ht="28.7" customHeight="1" x14ac:dyDescent="0.25"/>
    <row r="442" ht="28.7" customHeight="1" x14ac:dyDescent="0.25"/>
    <row r="443" ht="28.7" customHeight="1" x14ac:dyDescent="0.25"/>
    <row r="444" ht="28.7" customHeight="1" x14ac:dyDescent="0.25"/>
    <row r="445" ht="28.7" customHeight="1" x14ac:dyDescent="0.25"/>
    <row r="446" ht="28.7" customHeight="1" x14ac:dyDescent="0.25"/>
    <row r="447" ht="28.7" customHeight="1" x14ac:dyDescent="0.25"/>
    <row r="448" ht="28.7" customHeight="1" x14ac:dyDescent="0.25"/>
    <row r="449" ht="28.7" customHeight="1" x14ac:dyDescent="0.25"/>
    <row r="450" ht="28.7" customHeight="1" x14ac:dyDescent="0.25"/>
    <row r="451" ht="28.7" customHeight="1" x14ac:dyDescent="0.25"/>
    <row r="452" ht="28.7" customHeight="1" x14ac:dyDescent="0.25"/>
    <row r="453" ht="28.7" customHeight="1" x14ac:dyDescent="0.25"/>
    <row r="454" ht="28.7" customHeight="1" x14ac:dyDescent="0.25"/>
    <row r="455" ht="28.7" customHeight="1" x14ac:dyDescent="0.25"/>
    <row r="456" ht="28.7" customHeight="1" x14ac:dyDescent="0.25"/>
    <row r="457" ht="28.7" customHeight="1" x14ac:dyDescent="0.25"/>
    <row r="458" ht="28.7" customHeight="1" x14ac:dyDescent="0.25"/>
    <row r="459" ht="28.7" customHeight="1" x14ac:dyDescent="0.25"/>
    <row r="460" ht="28.7" customHeight="1" x14ac:dyDescent="0.25"/>
    <row r="461" ht="28.7" customHeight="1" x14ac:dyDescent="0.25"/>
    <row r="462" ht="28.7" customHeight="1" x14ac:dyDescent="0.25"/>
    <row r="463" ht="28.7" customHeight="1" x14ac:dyDescent="0.25"/>
    <row r="464" ht="28.7" customHeight="1" x14ac:dyDescent="0.25"/>
    <row r="465" ht="28.7" customHeight="1" x14ac:dyDescent="0.25"/>
    <row r="466" ht="28.7" customHeight="1" x14ac:dyDescent="0.25"/>
    <row r="467" ht="28.7" customHeight="1" x14ac:dyDescent="0.25"/>
    <row r="468" ht="28.7" customHeight="1" x14ac:dyDescent="0.25"/>
    <row r="469" ht="28.7" customHeight="1" x14ac:dyDescent="0.25"/>
    <row r="470" ht="28.7" customHeight="1" x14ac:dyDescent="0.25"/>
    <row r="471" ht="28.7" customHeight="1" x14ac:dyDescent="0.25"/>
    <row r="472" ht="28.7" customHeight="1" x14ac:dyDescent="0.25"/>
    <row r="473" ht="28.7" customHeight="1" x14ac:dyDescent="0.25"/>
    <row r="474" ht="28.7" customHeight="1" x14ac:dyDescent="0.25"/>
    <row r="475" ht="28.7" customHeight="1" x14ac:dyDescent="0.25"/>
    <row r="476" ht="28.7" customHeight="1" x14ac:dyDescent="0.25"/>
    <row r="477" ht="28.7" customHeight="1" x14ac:dyDescent="0.25"/>
    <row r="478" ht="28.7" customHeight="1" x14ac:dyDescent="0.25"/>
    <row r="479" ht="28.7" customHeight="1" x14ac:dyDescent="0.25"/>
    <row r="480" ht="28.7" customHeight="1" x14ac:dyDescent="0.25"/>
    <row r="481" ht="28.7" customHeight="1" x14ac:dyDescent="0.25"/>
    <row r="482" ht="28.7" customHeight="1" x14ac:dyDescent="0.25"/>
    <row r="483" ht="28.7" customHeight="1" x14ac:dyDescent="0.25"/>
    <row r="484" ht="28.7" customHeight="1" x14ac:dyDescent="0.25"/>
    <row r="485" ht="28.7" customHeight="1" x14ac:dyDescent="0.25"/>
    <row r="486" ht="28.7" customHeight="1" x14ac:dyDescent="0.25"/>
    <row r="487" ht="28.7" customHeight="1" x14ac:dyDescent="0.25"/>
    <row r="488" ht="28.7" customHeight="1" x14ac:dyDescent="0.25"/>
    <row r="489" ht="28.7" customHeight="1" x14ac:dyDescent="0.25"/>
    <row r="490" ht="28.7" customHeight="1" x14ac:dyDescent="0.25"/>
    <row r="491" ht="28.7" customHeight="1" x14ac:dyDescent="0.25"/>
    <row r="492" ht="28.7" customHeight="1" x14ac:dyDescent="0.25"/>
    <row r="493" ht="28.7" customHeight="1" x14ac:dyDescent="0.25"/>
    <row r="494" ht="28.7" customHeight="1" x14ac:dyDescent="0.25"/>
    <row r="495" ht="28.7" customHeight="1" x14ac:dyDescent="0.25"/>
    <row r="496" ht="28.7" customHeight="1" x14ac:dyDescent="0.25"/>
    <row r="497" ht="28.7" customHeight="1" x14ac:dyDescent="0.25"/>
    <row r="498" ht="28.7" customHeight="1" x14ac:dyDescent="0.25"/>
    <row r="499" ht="28.7" customHeight="1" x14ac:dyDescent="0.25"/>
    <row r="500" ht="28.7" customHeight="1" x14ac:dyDescent="0.25"/>
    <row r="501" ht="28.7" customHeight="1" x14ac:dyDescent="0.25"/>
    <row r="502" ht="28.7" customHeight="1" x14ac:dyDescent="0.25"/>
    <row r="503" ht="28.7" customHeight="1" x14ac:dyDescent="0.25"/>
    <row r="504" ht="28.7" customHeight="1" x14ac:dyDescent="0.25"/>
    <row r="505" ht="28.7" customHeight="1" x14ac:dyDescent="0.25"/>
    <row r="506" ht="28.7" customHeight="1" x14ac:dyDescent="0.25"/>
    <row r="507" ht="28.7" customHeight="1" x14ac:dyDescent="0.25"/>
    <row r="508" ht="28.7" customHeight="1" x14ac:dyDescent="0.25"/>
    <row r="509" ht="28.7" customHeight="1" x14ac:dyDescent="0.25"/>
    <row r="510" ht="28.7" customHeight="1" x14ac:dyDescent="0.25"/>
    <row r="511" ht="28.7" customHeight="1" x14ac:dyDescent="0.25"/>
    <row r="512" ht="28.7" customHeight="1" x14ac:dyDescent="0.25"/>
    <row r="513" ht="28.7" customHeight="1" x14ac:dyDescent="0.25"/>
    <row r="514" ht="28.7" customHeight="1" x14ac:dyDescent="0.25"/>
    <row r="515" ht="28.7" customHeight="1" x14ac:dyDescent="0.25"/>
    <row r="516" ht="28.7" customHeight="1" x14ac:dyDescent="0.25"/>
    <row r="517" ht="28.7" customHeight="1" x14ac:dyDescent="0.25"/>
    <row r="518" ht="28.7" customHeight="1" x14ac:dyDescent="0.25"/>
    <row r="519" ht="28.7" customHeight="1" x14ac:dyDescent="0.25"/>
    <row r="520" ht="28.7" customHeight="1" x14ac:dyDescent="0.25"/>
    <row r="521" ht="28.7" customHeight="1" x14ac:dyDescent="0.25"/>
    <row r="522" ht="28.7" customHeight="1" x14ac:dyDescent="0.25"/>
    <row r="523" ht="28.7" customHeight="1" x14ac:dyDescent="0.25"/>
    <row r="524" ht="28.7" customHeight="1" x14ac:dyDescent="0.25"/>
    <row r="525" ht="28.7" customHeight="1" x14ac:dyDescent="0.25"/>
    <row r="526" ht="28.7" customHeight="1" x14ac:dyDescent="0.25"/>
    <row r="527" ht="28.7" customHeight="1" x14ac:dyDescent="0.25"/>
    <row r="528" ht="28.7" customHeight="1" x14ac:dyDescent="0.25"/>
    <row r="529" ht="28.7" customHeight="1" x14ac:dyDescent="0.25"/>
    <row r="530" ht="28.7" customHeight="1" x14ac:dyDescent="0.25"/>
    <row r="531" ht="28.7" customHeight="1" x14ac:dyDescent="0.25"/>
    <row r="532" ht="28.7" customHeight="1" x14ac:dyDescent="0.25"/>
    <row r="533" ht="28.7" customHeight="1" x14ac:dyDescent="0.25"/>
    <row r="534" ht="28.7" customHeight="1" x14ac:dyDescent="0.25"/>
    <row r="535" ht="28.7" customHeight="1" x14ac:dyDescent="0.25"/>
    <row r="536" ht="28.7" customHeight="1" x14ac:dyDescent="0.25"/>
    <row r="537" ht="28.7" customHeight="1" x14ac:dyDescent="0.25"/>
    <row r="538" ht="28.7" customHeight="1" x14ac:dyDescent="0.25"/>
    <row r="539" ht="28.7" customHeight="1" x14ac:dyDescent="0.25"/>
    <row r="540" ht="28.7" customHeight="1" x14ac:dyDescent="0.25"/>
    <row r="541" ht="28.7" customHeight="1" x14ac:dyDescent="0.25"/>
    <row r="542" ht="28.7" customHeight="1" x14ac:dyDescent="0.25"/>
    <row r="543" ht="28.7" customHeight="1" x14ac:dyDescent="0.25"/>
    <row r="544" ht="28.7" customHeight="1" x14ac:dyDescent="0.25"/>
    <row r="545" ht="28.7" customHeight="1" x14ac:dyDescent="0.25"/>
    <row r="546" ht="28.7" customHeight="1" x14ac:dyDescent="0.25"/>
    <row r="547" ht="28.7" customHeight="1" x14ac:dyDescent="0.25"/>
    <row r="548" ht="28.7" customHeight="1" x14ac:dyDescent="0.25"/>
    <row r="549" ht="28.7" customHeight="1" x14ac:dyDescent="0.25"/>
    <row r="550" ht="28.7" customHeight="1" x14ac:dyDescent="0.25"/>
    <row r="551" ht="28.7" customHeight="1" x14ac:dyDescent="0.25"/>
    <row r="552" ht="28.7" customHeight="1" x14ac:dyDescent="0.25"/>
    <row r="553" ht="28.7" customHeight="1" x14ac:dyDescent="0.25"/>
    <row r="554" ht="28.7" customHeight="1" x14ac:dyDescent="0.25"/>
    <row r="555" ht="28.7" customHeight="1" x14ac:dyDescent="0.25"/>
    <row r="556" ht="28.7" customHeight="1" x14ac:dyDescent="0.25"/>
    <row r="557" ht="28.7" customHeight="1" x14ac:dyDescent="0.25"/>
    <row r="558" ht="28.7" customHeight="1" x14ac:dyDescent="0.25"/>
    <row r="559" ht="28.7" customHeight="1" x14ac:dyDescent="0.25"/>
    <row r="560" ht="28.7" customHeight="1" x14ac:dyDescent="0.25"/>
    <row r="561" ht="28.7" customHeight="1" x14ac:dyDescent="0.25"/>
    <row r="562" ht="28.7" customHeight="1" x14ac:dyDescent="0.25"/>
    <row r="563" ht="28.7" customHeight="1" x14ac:dyDescent="0.25"/>
    <row r="564" ht="28.7" customHeight="1" x14ac:dyDescent="0.25"/>
    <row r="565" ht="28.7" customHeight="1" x14ac:dyDescent="0.25"/>
    <row r="566" ht="28.7" customHeight="1" x14ac:dyDescent="0.25"/>
    <row r="567" ht="28.7" customHeight="1" x14ac:dyDescent="0.25"/>
    <row r="568" ht="28.7" customHeight="1" x14ac:dyDescent="0.25"/>
    <row r="569" ht="28.7" customHeight="1" x14ac:dyDescent="0.25"/>
    <row r="570" ht="28.7" customHeight="1" x14ac:dyDescent="0.25"/>
    <row r="571" ht="28.7" customHeight="1" x14ac:dyDescent="0.25"/>
    <row r="572" ht="28.7" customHeight="1" x14ac:dyDescent="0.25"/>
    <row r="573" ht="28.7" customHeight="1" x14ac:dyDescent="0.25"/>
    <row r="574" ht="28.7" customHeight="1" x14ac:dyDescent="0.25"/>
    <row r="575" ht="28.7" customHeight="1" x14ac:dyDescent="0.25"/>
    <row r="576" ht="28.7" customHeight="1" x14ac:dyDescent="0.25"/>
    <row r="577" ht="28.7" customHeight="1" x14ac:dyDescent="0.25"/>
    <row r="578" ht="28.7" customHeight="1" x14ac:dyDescent="0.25"/>
    <row r="579" ht="28.7" customHeight="1" x14ac:dyDescent="0.25"/>
    <row r="580" ht="28.7" customHeight="1" x14ac:dyDescent="0.25"/>
    <row r="581" ht="28.7" customHeight="1" x14ac:dyDescent="0.25"/>
    <row r="582" ht="28.7" customHeight="1" x14ac:dyDescent="0.25"/>
    <row r="583" ht="28.7" customHeight="1" x14ac:dyDescent="0.25"/>
    <row r="584" ht="28.7" customHeight="1" x14ac:dyDescent="0.25"/>
    <row r="585" ht="28.7" customHeight="1" x14ac:dyDescent="0.25"/>
    <row r="586" ht="28.7" customHeight="1" x14ac:dyDescent="0.25"/>
    <row r="587" ht="28.7" customHeight="1" x14ac:dyDescent="0.25"/>
    <row r="588" ht="28.7" customHeight="1" x14ac:dyDescent="0.25"/>
    <row r="589" ht="28.7" customHeight="1" x14ac:dyDescent="0.25"/>
    <row r="590" ht="28.7" customHeight="1" x14ac:dyDescent="0.25"/>
    <row r="591" ht="28.7" customHeight="1" x14ac:dyDescent="0.25"/>
    <row r="592" ht="28.7" customHeight="1" x14ac:dyDescent="0.25"/>
    <row r="593" ht="28.7" customHeight="1" x14ac:dyDescent="0.25"/>
    <row r="594" ht="28.7" customHeight="1" x14ac:dyDescent="0.25"/>
    <row r="595" ht="28.7" customHeight="1" x14ac:dyDescent="0.25"/>
    <row r="596" ht="28.7" customHeight="1" x14ac:dyDescent="0.25"/>
    <row r="597" ht="28.7" customHeight="1" x14ac:dyDescent="0.25"/>
    <row r="598" ht="28.7" customHeight="1" x14ac:dyDescent="0.25"/>
    <row r="599" ht="28.7" customHeight="1" x14ac:dyDescent="0.25"/>
    <row r="600" ht="28.7" customHeight="1" x14ac:dyDescent="0.25"/>
    <row r="601" ht="28.7" customHeight="1" x14ac:dyDescent="0.25"/>
    <row r="602" ht="28.7" customHeight="1" x14ac:dyDescent="0.25"/>
    <row r="603" ht="28.7" customHeight="1" x14ac:dyDescent="0.25"/>
    <row r="604" ht="28.7" customHeight="1" x14ac:dyDescent="0.25"/>
    <row r="605" ht="28.7" customHeight="1" x14ac:dyDescent="0.25"/>
    <row r="606" ht="28.7" customHeight="1" x14ac:dyDescent="0.25"/>
    <row r="607" ht="28.7" customHeight="1" x14ac:dyDescent="0.25"/>
    <row r="608" ht="28.7" customHeight="1" x14ac:dyDescent="0.25"/>
    <row r="609" ht="28.7" customHeight="1" x14ac:dyDescent="0.25"/>
    <row r="610" ht="28.7" customHeight="1" x14ac:dyDescent="0.25"/>
    <row r="611" ht="28.7" customHeight="1" x14ac:dyDescent="0.25"/>
    <row r="612" ht="28.7" customHeight="1" x14ac:dyDescent="0.25"/>
    <row r="613" ht="28.7" customHeight="1" x14ac:dyDescent="0.25"/>
    <row r="614" ht="28.7" customHeight="1" x14ac:dyDescent="0.25"/>
    <row r="615" ht="28.7" customHeight="1" x14ac:dyDescent="0.25"/>
    <row r="616" ht="28.7" customHeight="1" x14ac:dyDescent="0.25"/>
    <row r="617" ht="28.7" customHeight="1" x14ac:dyDescent="0.25"/>
    <row r="618" ht="28.7" customHeight="1" x14ac:dyDescent="0.25"/>
    <row r="619" ht="28.7" customHeight="1" x14ac:dyDescent="0.25"/>
    <row r="620" ht="28.7" customHeight="1" x14ac:dyDescent="0.25"/>
    <row r="621" ht="28.7" customHeight="1" x14ac:dyDescent="0.25"/>
    <row r="622" ht="28.7" customHeight="1" x14ac:dyDescent="0.25"/>
    <row r="623" ht="28.7" customHeight="1" x14ac:dyDescent="0.25"/>
    <row r="624" ht="28.7" customHeight="1" x14ac:dyDescent="0.25"/>
    <row r="625" ht="28.7" customHeight="1" x14ac:dyDescent="0.25"/>
    <row r="626" ht="28.7" customHeight="1" x14ac:dyDescent="0.25"/>
    <row r="627" ht="28.7" customHeight="1" x14ac:dyDescent="0.25"/>
    <row r="628" ht="28.7" customHeight="1" x14ac:dyDescent="0.25"/>
    <row r="629" ht="28.7" customHeight="1" x14ac:dyDescent="0.25"/>
    <row r="630" ht="28.7" customHeight="1" x14ac:dyDescent="0.25"/>
    <row r="631" ht="28.7" customHeight="1" x14ac:dyDescent="0.25"/>
    <row r="632" ht="28.7" customHeight="1" x14ac:dyDescent="0.25"/>
    <row r="633" ht="28.7" customHeight="1" x14ac:dyDescent="0.25"/>
    <row r="634" ht="28.7" customHeight="1" x14ac:dyDescent="0.25"/>
    <row r="635" ht="28.7" customHeight="1" x14ac:dyDescent="0.25"/>
    <row r="636" ht="28.7" customHeight="1" x14ac:dyDescent="0.25"/>
    <row r="637" ht="28.7" customHeight="1" x14ac:dyDescent="0.25"/>
    <row r="638" ht="28.7" customHeight="1" x14ac:dyDescent="0.25"/>
    <row r="639" ht="28.7" customHeight="1" x14ac:dyDescent="0.25"/>
    <row r="640" ht="28.7" customHeight="1" x14ac:dyDescent="0.25"/>
    <row r="641" ht="28.7" customHeight="1" x14ac:dyDescent="0.25"/>
    <row r="642" ht="28.7" customHeight="1" x14ac:dyDescent="0.25"/>
    <row r="643" ht="28.7" customHeight="1" x14ac:dyDescent="0.25"/>
    <row r="644" ht="28.7" customHeight="1" x14ac:dyDescent="0.25"/>
    <row r="645" ht="28.7" customHeight="1" x14ac:dyDescent="0.25"/>
    <row r="646" ht="28.7" customHeight="1" x14ac:dyDescent="0.25"/>
    <row r="647" ht="28.7" customHeight="1" x14ac:dyDescent="0.25"/>
    <row r="648" ht="28.7" customHeight="1" x14ac:dyDescent="0.25"/>
    <row r="649" ht="28.7" customHeight="1" x14ac:dyDescent="0.25"/>
    <row r="650" ht="28.7" customHeight="1" x14ac:dyDescent="0.25"/>
    <row r="651" ht="28.7" customHeight="1" x14ac:dyDescent="0.25"/>
    <row r="652" ht="28.7" customHeight="1" x14ac:dyDescent="0.25"/>
    <row r="653" ht="28.7" customHeight="1" x14ac:dyDescent="0.25"/>
    <row r="654" ht="28.7" customHeight="1" x14ac:dyDescent="0.25"/>
    <row r="655" ht="28.7" customHeight="1" x14ac:dyDescent="0.25"/>
    <row r="656" ht="28.7" customHeight="1" x14ac:dyDescent="0.25"/>
    <row r="657" ht="28.7" customHeight="1" x14ac:dyDescent="0.25"/>
    <row r="658" ht="28.7" customHeight="1" x14ac:dyDescent="0.25"/>
    <row r="659" ht="28.7" customHeight="1" x14ac:dyDescent="0.25"/>
    <row r="660" ht="28.7" customHeight="1" x14ac:dyDescent="0.25"/>
    <row r="661" ht="28.7" customHeight="1" x14ac:dyDescent="0.25"/>
    <row r="662" ht="28.7" customHeight="1" x14ac:dyDescent="0.25"/>
    <row r="663" ht="28.7" customHeight="1" x14ac:dyDescent="0.25"/>
    <row r="664" ht="28.7" customHeight="1" x14ac:dyDescent="0.25"/>
    <row r="665" ht="28.7" customHeight="1" x14ac:dyDescent="0.25"/>
    <row r="666" ht="28.7" customHeight="1" x14ac:dyDescent="0.25"/>
    <row r="667" ht="28.7" customHeight="1" x14ac:dyDescent="0.25"/>
    <row r="668" ht="28.7" customHeight="1" x14ac:dyDescent="0.25"/>
    <row r="669" ht="28.7" customHeight="1" x14ac:dyDescent="0.25"/>
    <row r="670" ht="28.7" customHeight="1" x14ac:dyDescent="0.25"/>
    <row r="671" ht="28.7" customHeight="1" x14ac:dyDescent="0.25"/>
    <row r="672" ht="28.7" customHeight="1" x14ac:dyDescent="0.25"/>
    <row r="673" ht="28.7" customHeight="1" x14ac:dyDescent="0.25"/>
    <row r="674" ht="28.7" customHeight="1" x14ac:dyDescent="0.25"/>
    <row r="675" ht="28.7" customHeight="1" x14ac:dyDescent="0.25"/>
    <row r="676" ht="28.7" customHeight="1" x14ac:dyDescent="0.25"/>
    <row r="677" ht="28.7" customHeight="1" x14ac:dyDescent="0.25"/>
    <row r="678" ht="28.7" customHeight="1" x14ac:dyDescent="0.25"/>
    <row r="679" ht="28.7" customHeight="1" x14ac:dyDescent="0.25"/>
    <row r="680" ht="28.7" customHeight="1" x14ac:dyDescent="0.25"/>
    <row r="681" ht="28.7" customHeight="1" x14ac:dyDescent="0.25"/>
    <row r="682" ht="28.7" customHeight="1" x14ac:dyDescent="0.25"/>
    <row r="683" ht="28.7" customHeight="1" x14ac:dyDescent="0.25"/>
    <row r="684" ht="28.7" customHeight="1" x14ac:dyDescent="0.25"/>
    <row r="685" ht="28.7" customHeight="1" x14ac:dyDescent="0.25"/>
    <row r="686" ht="28.7" customHeight="1" x14ac:dyDescent="0.25"/>
    <row r="687" ht="28.7" customHeight="1" x14ac:dyDescent="0.25"/>
    <row r="688" ht="28.7" customHeight="1" x14ac:dyDescent="0.25"/>
    <row r="689" ht="28.7" customHeight="1" x14ac:dyDescent="0.25"/>
    <row r="690" ht="28.7" customHeight="1" x14ac:dyDescent="0.25"/>
    <row r="691" ht="28.7" customHeight="1" x14ac:dyDescent="0.25"/>
    <row r="692" ht="28.7" customHeight="1" x14ac:dyDescent="0.25"/>
    <row r="693" ht="28.7" customHeight="1" x14ac:dyDescent="0.25"/>
    <row r="694" ht="28.7" customHeight="1" x14ac:dyDescent="0.25"/>
    <row r="695" ht="28.7" customHeight="1" x14ac:dyDescent="0.25"/>
    <row r="696" ht="28.7" customHeight="1" x14ac:dyDescent="0.25"/>
    <row r="697" ht="28.7" customHeight="1" x14ac:dyDescent="0.25"/>
    <row r="698" ht="28.7" customHeight="1" x14ac:dyDescent="0.25"/>
    <row r="699" ht="28.7" customHeight="1" x14ac:dyDescent="0.25"/>
    <row r="700" ht="28.7" customHeight="1" x14ac:dyDescent="0.25"/>
    <row r="701" ht="28.7" customHeight="1" x14ac:dyDescent="0.25"/>
    <row r="702" ht="28.7" customHeight="1" x14ac:dyDescent="0.25"/>
    <row r="703" ht="28.7" customHeight="1" x14ac:dyDescent="0.25"/>
    <row r="704" ht="28.7" customHeight="1" x14ac:dyDescent="0.25"/>
    <row r="705" ht="28.7" customHeight="1" x14ac:dyDescent="0.25"/>
    <row r="706" ht="28.7" customHeight="1" x14ac:dyDescent="0.25"/>
    <row r="707" ht="28.7" customHeight="1" x14ac:dyDescent="0.25"/>
    <row r="708" ht="28.7" customHeight="1" x14ac:dyDescent="0.25"/>
    <row r="709" ht="28.7" customHeight="1" x14ac:dyDescent="0.25"/>
    <row r="710" ht="28.7" customHeight="1" x14ac:dyDescent="0.25"/>
    <row r="711" ht="28.7" customHeight="1" x14ac:dyDescent="0.25"/>
    <row r="712" ht="28.7" customHeight="1" x14ac:dyDescent="0.25"/>
    <row r="713" ht="28.7" customHeight="1" x14ac:dyDescent="0.25"/>
    <row r="714" ht="28.7" customHeight="1" x14ac:dyDescent="0.25"/>
    <row r="715" ht="28.7" customHeight="1" x14ac:dyDescent="0.25"/>
    <row r="716" ht="28.7" customHeight="1" x14ac:dyDescent="0.25"/>
    <row r="717" ht="28.7" customHeight="1" x14ac:dyDescent="0.25"/>
    <row r="718" ht="28.7" customHeight="1" x14ac:dyDescent="0.25"/>
    <row r="719" ht="28.7" customHeight="1" x14ac:dyDescent="0.25"/>
    <row r="720" ht="28.7" customHeight="1" x14ac:dyDescent="0.25"/>
    <row r="721" ht="28.7" customHeight="1" x14ac:dyDescent="0.25"/>
    <row r="722" ht="28.7" customHeight="1" x14ac:dyDescent="0.25"/>
    <row r="723" ht="28.7" customHeight="1" x14ac:dyDescent="0.25"/>
    <row r="724" ht="28.7" customHeight="1" x14ac:dyDescent="0.25"/>
    <row r="725" ht="28.7" customHeight="1" x14ac:dyDescent="0.25"/>
    <row r="726" ht="28.7" customHeight="1" x14ac:dyDescent="0.25"/>
    <row r="727" ht="28.7" customHeight="1" x14ac:dyDescent="0.25"/>
    <row r="728" ht="28.7" customHeight="1" x14ac:dyDescent="0.25"/>
    <row r="729" ht="28.7" customHeight="1" x14ac:dyDescent="0.25"/>
    <row r="730" ht="28.7" customHeight="1" x14ac:dyDescent="0.25"/>
    <row r="731" ht="28.7" customHeight="1" x14ac:dyDescent="0.25"/>
    <row r="732" ht="28.7" customHeight="1" x14ac:dyDescent="0.25"/>
    <row r="733" ht="28.7" customHeight="1" x14ac:dyDescent="0.25"/>
    <row r="734" ht="28.7" customHeight="1" x14ac:dyDescent="0.25"/>
    <row r="735" ht="28.7" customHeight="1" x14ac:dyDescent="0.25"/>
    <row r="736" ht="28.7" customHeight="1" x14ac:dyDescent="0.25"/>
    <row r="737" ht="28.7" customHeight="1" x14ac:dyDescent="0.25"/>
    <row r="738" ht="28.7" customHeight="1" x14ac:dyDescent="0.25"/>
    <row r="739" ht="28.7" customHeight="1" x14ac:dyDescent="0.25"/>
    <row r="740" ht="28.7" customHeight="1" x14ac:dyDescent="0.25"/>
    <row r="741" ht="28.7" customHeight="1" x14ac:dyDescent="0.25"/>
    <row r="742" ht="28.7" customHeight="1" x14ac:dyDescent="0.25"/>
    <row r="743" ht="28.7" customHeight="1" x14ac:dyDescent="0.25"/>
    <row r="744" ht="28.7" customHeight="1" x14ac:dyDescent="0.25"/>
    <row r="745" ht="28.7" customHeight="1" x14ac:dyDescent="0.25"/>
    <row r="746" ht="28.7" customHeight="1" x14ac:dyDescent="0.25"/>
    <row r="747" ht="28.7" customHeight="1" x14ac:dyDescent="0.25"/>
    <row r="748" ht="28.7" customHeight="1" x14ac:dyDescent="0.25"/>
    <row r="749" ht="28.7" customHeight="1" x14ac:dyDescent="0.25"/>
    <row r="750" ht="28.7" customHeight="1" x14ac:dyDescent="0.25"/>
    <row r="751" ht="28.7" customHeight="1" x14ac:dyDescent="0.25"/>
    <row r="752" ht="28.7" customHeight="1" x14ac:dyDescent="0.25"/>
    <row r="753" ht="28.7" customHeight="1" x14ac:dyDescent="0.25"/>
    <row r="754" ht="28.7" customHeight="1" x14ac:dyDescent="0.25"/>
    <row r="755" ht="28.7" customHeight="1" x14ac:dyDescent="0.25"/>
    <row r="756" ht="28.7" customHeight="1" x14ac:dyDescent="0.25"/>
    <row r="757" ht="28.7" customHeight="1" x14ac:dyDescent="0.25"/>
    <row r="758" ht="28.7" customHeight="1" x14ac:dyDescent="0.25"/>
    <row r="759" ht="28.7" customHeight="1" x14ac:dyDescent="0.25"/>
    <row r="760" ht="28.7" customHeight="1" x14ac:dyDescent="0.25"/>
    <row r="761" ht="28.7" customHeight="1" x14ac:dyDescent="0.25"/>
    <row r="762" ht="28.7" customHeight="1" x14ac:dyDescent="0.25"/>
    <row r="763" ht="28.7" customHeight="1" x14ac:dyDescent="0.25"/>
  </sheetData>
  <mergeCells count="16">
    <mergeCell ref="E5:K7"/>
    <mergeCell ref="C2:M2"/>
    <mergeCell ref="G13:K13"/>
    <mergeCell ref="G14:L14"/>
    <mergeCell ref="L10:M10"/>
    <mergeCell ref="L11:M11"/>
    <mergeCell ref="G11:K11"/>
    <mergeCell ref="C10:E10"/>
    <mergeCell ref="G10:K10"/>
    <mergeCell ref="C11:F11"/>
    <mergeCell ref="C18:L18"/>
    <mergeCell ref="C13:F13"/>
    <mergeCell ref="C14:F14"/>
    <mergeCell ref="C16:D16"/>
    <mergeCell ref="H16:I16"/>
    <mergeCell ref="E16:G16"/>
  </mergeCells>
  <pageMargins left="0.7" right="0.2" top="0.44" bottom="0.45" header="0.2" footer="0.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2674-E959-4D4B-94C8-19FF58809D8A}">
  <dimension ref="A1:G124"/>
  <sheetViews>
    <sheetView view="pageLayout" topLeftCell="A118" zoomScale="70" zoomScaleNormal="100" zoomScalePageLayoutView="70" workbookViewId="0">
      <selection activeCell="D130" sqref="D130"/>
    </sheetView>
  </sheetViews>
  <sheetFormatPr defaultColWidth="9.140625" defaultRowHeight="16.5" x14ac:dyDescent="0.25"/>
  <cols>
    <col min="1" max="1" width="6" style="1" customWidth="1"/>
    <col min="2" max="2" width="39.140625" style="2" customWidth="1"/>
    <col min="3" max="3" width="12.85546875" style="1" customWidth="1"/>
    <col min="4" max="4" width="45.7109375" style="1" customWidth="1"/>
    <col min="5" max="7" width="11.28515625" style="1" customWidth="1"/>
    <col min="8" max="16384" width="9.140625" style="1"/>
  </cols>
  <sheetData>
    <row r="1" spans="1:7" ht="30" customHeight="1" x14ac:dyDescent="0.3">
      <c r="A1" s="14"/>
      <c r="B1" s="16" t="s">
        <v>30</v>
      </c>
      <c r="C1" s="59" t="s">
        <v>81</v>
      </c>
      <c r="D1" s="15" t="s">
        <v>9</v>
      </c>
      <c r="E1" s="17" t="s">
        <v>11</v>
      </c>
      <c r="F1" s="19" t="s">
        <v>10</v>
      </c>
      <c r="G1" s="17" t="s">
        <v>31</v>
      </c>
    </row>
    <row r="2" spans="1:7" ht="30" customHeight="1" x14ac:dyDescent="0.3">
      <c r="A2" s="14"/>
      <c r="B2" s="16" t="s">
        <v>82</v>
      </c>
      <c r="C2" s="183" t="s">
        <v>83</v>
      </c>
      <c r="D2" s="184"/>
      <c r="E2" s="18" t="s">
        <v>1</v>
      </c>
      <c r="F2" s="185" t="s">
        <v>84</v>
      </c>
      <c r="G2" s="185"/>
    </row>
    <row r="3" spans="1:7" ht="30" customHeight="1" x14ac:dyDescent="0.25"/>
    <row r="4" spans="1:7" ht="30" customHeight="1" x14ac:dyDescent="0.25">
      <c r="A4" s="182" t="s">
        <v>0</v>
      </c>
      <c r="B4" s="182"/>
      <c r="C4" s="182"/>
      <c r="D4" s="182"/>
      <c r="E4" s="182"/>
      <c r="F4" s="182"/>
      <c r="G4" s="182"/>
    </row>
    <row r="5" spans="1:7" ht="30" customHeight="1" x14ac:dyDescent="0.25"/>
    <row r="6" spans="1:7" s="10" customFormat="1" ht="60" customHeight="1" x14ac:dyDescent="0.25">
      <c r="A6" s="3" t="s">
        <v>2</v>
      </c>
      <c r="B6" s="4" t="s">
        <v>3</v>
      </c>
      <c r="C6" s="5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ht="57.6" customHeight="1" x14ac:dyDescent="0.25">
      <c r="A7" s="6">
        <v>1</v>
      </c>
      <c r="B7" s="7">
        <f>'DANH SÁCH'!C3</f>
        <v>0</v>
      </c>
      <c r="C7" s="62">
        <f>'DANH SÁCH'!D3</f>
        <v>0</v>
      </c>
      <c r="D7" s="8">
        <f>'DANH SÁCH'!F3</f>
        <v>0</v>
      </c>
      <c r="E7" s="6"/>
      <c r="F7" s="9"/>
      <c r="G7" s="9"/>
    </row>
    <row r="8" spans="1:7" ht="57.6" customHeight="1" x14ac:dyDescent="0.25">
      <c r="A8" s="6">
        <v>2</v>
      </c>
      <c r="B8" s="7">
        <f>'DANH SÁCH'!C4</f>
        <v>0</v>
      </c>
      <c r="C8" s="62">
        <f>'DANH SÁCH'!D4</f>
        <v>0</v>
      </c>
      <c r="D8" s="8">
        <f>'DANH SÁCH'!F4</f>
        <v>0</v>
      </c>
      <c r="E8" s="6"/>
      <c r="F8" s="9"/>
      <c r="G8" s="9"/>
    </row>
    <row r="9" spans="1:7" ht="57.6" customHeight="1" x14ac:dyDescent="0.25">
      <c r="A9" s="6">
        <v>3</v>
      </c>
      <c r="B9" s="7">
        <f>'DANH SÁCH'!C5</f>
        <v>0</v>
      </c>
      <c r="C9" s="62">
        <f>'DANH SÁCH'!D5</f>
        <v>0</v>
      </c>
      <c r="D9" s="8">
        <f>'DANH SÁCH'!F5</f>
        <v>0</v>
      </c>
      <c r="E9" s="6"/>
      <c r="F9" s="9"/>
      <c r="G9" s="9"/>
    </row>
    <row r="10" spans="1:7" ht="57.6" customHeight="1" x14ac:dyDescent="0.25">
      <c r="A10" s="6">
        <v>4</v>
      </c>
      <c r="B10" s="7">
        <f>'DANH SÁCH'!C6</f>
        <v>0</v>
      </c>
      <c r="C10" s="62">
        <f>'DANH SÁCH'!D6</f>
        <v>0</v>
      </c>
      <c r="D10" s="8">
        <f>'DANH SÁCH'!F6</f>
        <v>0</v>
      </c>
      <c r="E10" s="6"/>
      <c r="F10" s="9"/>
      <c r="G10" s="9"/>
    </row>
    <row r="11" spans="1:7" ht="57.6" customHeight="1" x14ac:dyDescent="0.25">
      <c r="A11" s="6">
        <v>5</v>
      </c>
      <c r="B11" s="7">
        <f>'DANH SÁCH'!C7</f>
        <v>0</v>
      </c>
      <c r="C11" s="62">
        <f>'DANH SÁCH'!D7</f>
        <v>0</v>
      </c>
      <c r="D11" s="8">
        <f>'DANH SÁCH'!F7</f>
        <v>0</v>
      </c>
      <c r="E11" s="6"/>
      <c r="F11" s="9"/>
      <c r="G11" s="9"/>
    </row>
    <row r="12" spans="1:7" ht="57.6" customHeight="1" x14ac:dyDescent="0.25">
      <c r="A12" s="6">
        <v>6</v>
      </c>
      <c r="B12" s="7">
        <f>'DANH SÁCH'!C8</f>
        <v>0</v>
      </c>
      <c r="C12" s="62">
        <f>'DANH SÁCH'!D8</f>
        <v>0</v>
      </c>
      <c r="D12" s="8">
        <f>'DANH SÁCH'!F8</f>
        <v>0</v>
      </c>
      <c r="E12" s="6"/>
      <c r="F12" s="9"/>
      <c r="G12" s="9"/>
    </row>
    <row r="13" spans="1:7" ht="5.25" customHeight="1" x14ac:dyDescent="0.25">
      <c r="B13" s="1"/>
    </row>
    <row r="14" spans="1:7" ht="30.2" customHeight="1" x14ac:dyDescent="0.3">
      <c r="A14" s="14"/>
      <c r="B14" s="16" t="s">
        <v>30</v>
      </c>
      <c r="C14" s="59" t="s">
        <v>81</v>
      </c>
      <c r="D14" s="15" t="s">
        <v>9</v>
      </c>
      <c r="E14" s="17" t="s">
        <v>11</v>
      </c>
      <c r="F14" s="19" t="s">
        <v>10</v>
      </c>
      <c r="G14" s="17" t="s">
        <v>31</v>
      </c>
    </row>
    <row r="15" spans="1:7" ht="30.2" customHeight="1" x14ac:dyDescent="0.3">
      <c r="A15" s="14"/>
      <c r="B15" s="16" t="s">
        <v>82</v>
      </c>
      <c r="C15" s="183" t="s">
        <v>83</v>
      </c>
      <c r="D15" s="184"/>
      <c r="E15" s="18" t="s">
        <v>1</v>
      </c>
      <c r="F15" s="185" t="s">
        <v>84</v>
      </c>
      <c r="G15" s="185"/>
    </row>
    <row r="16" spans="1:7" ht="30.2" customHeight="1" x14ac:dyDescent="0.25"/>
    <row r="17" spans="1:7" ht="30.2" customHeight="1" x14ac:dyDescent="0.25">
      <c r="A17" s="182" t="s">
        <v>0</v>
      </c>
      <c r="B17" s="182"/>
      <c r="C17" s="182"/>
      <c r="D17" s="182"/>
      <c r="E17" s="182"/>
      <c r="F17" s="182"/>
      <c r="G17" s="182"/>
    </row>
    <row r="18" spans="1:7" ht="30.2" customHeight="1" x14ac:dyDescent="0.25"/>
    <row r="19" spans="1:7" ht="60" customHeight="1" x14ac:dyDescent="0.25">
      <c r="A19" s="3" t="s">
        <v>2</v>
      </c>
      <c r="B19" s="4" t="s">
        <v>3</v>
      </c>
      <c r="C19" s="5" t="s">
        <v>4</v>
      </c>
      <c r="D19" s="3" t="s">
        <v>5</v>
      </c>
      <c r="E19" s="3" t="s">
        <v>6</v>
      </c>
      <c r="F19" s="3" t="s">
        <v>7</v>
      </c>
      <c r="G19" s="3" t="s">
        <v>8</v>
      </c>
    </row>
    <row r="20" spans="1:7" ht="57.6" customHeight="1" x14ac:dyDescent="0.25">
      <c r="A20" s="6">
        <v>1</v>
      </c>
      <c r="B20" s="7">
        <f>'DANH SÁCH'!C9</f>
        <v>0</v>
      </c>
      <c r="C20" s="62">
        <f>'DANH SÁCH'!D9</f>
        <v>0</v>
      </c>
      <c r="D20" s="8">
        <f>'DANH SÁCH'!F9</f>
        <v>0</v>
      </c>
      <c r="E20" s="6"/>
      <c r="F20" s="9"/>
      <c r="G20" s="9"/>
    </row>
    <row r="21" spans="1:7" ht="57.6" customHeight="1" x14ac:dyDescent="0.25">
      <c r="A21" s="6">
        <v>2</v>
      </c>
      <c r="B21" s="7">
        <f>'DANH SÁCH'!C10</f>
        <v>0</v>
      </c>
      <c r="C21" s="62">
        <f>'DANH SÁCH'!D10</f>
        <v>0</v>
      </c>
      <c r="D21" s="8">
        <f>'DANH SÁCH'!F10</f>
        <v>0</v>
      </c>
      <c r="E21" s="6"/>
      <c r="F21" s="9"/>
      <c r="G21" s="9"/>
    </row>
    <row r="22" spans="1:7" ht="57.6" customHeight="1" x14ac:dyDescent="0.25">
      <c r="A22" s="6">
        <v>3</v>
      </c>
      <c r="B22" s="7">
        <f>'DANH SÁCH'!C11</f>
        <v>0</v>
      </c>
      <c r="C22" s="62">
        <f>'DANH SÁCH'!D11</f>
        <v>0</v>
      </c>
      <c r="D22" s="8">
        <f>'DANH SÁCH'!F11</f>
        <v>0</v>
      </c>
      <c r="E22" s="6"/>
      <c r="F22" s="9"/>
      <c r="G22" s="9"/>
    </row>
    <row r="23" spans="1:7" ht="57.6" customHeight="1" x14ac:dyDescent="0.25">
      <c r="A23" s="6">
        <v>4</v>
      </c>
      <c r="B23" s="7">
        <f>'DANH SÁCH'!C12</f>
        <v>0</v>
      </c>
      <c r="C23" s="62">
        <f>'DANH SÁCH'!D12</f>
        <v>0</v>
      </c>
      <c r="D23" s="8">
        <f>'DANH SÁCH'!F12</f>
        <v>0</v>
      </c>
      <c r="E23" s="6"/>
      <c r="F23" s="9"/>
      <c r="G23" s="9"/>
    </row>
    <row r="24" spans="1:7" ht="57.6" customHeight="1" x14ac:dyDescent="0.25">
      <c r="A24" s="6">
        <v>5</v>
      </c>
      <c r="B24" s="7">
        <f>'DANH SÁCH'!C13</f>
        <v>0</v>
      </c>
      <c r="C24" s="62">
        <f>'DANH SÁCH'!D13</f>
        <v>0</v>
      </c>
      <c r="D24" s="8">
        <f>'DANH SÁCH'!F13</f>
        <v>0</v>
      </c>
      <c r="E24" s="6"/>
      <c r="F24" s="9"/>
      <c r="G24" s="9"/>
    </row>
    <row r="25" spans="1:7" ht="57.6" customHeight="1" x14ac:dyDescent="0.25">
      <c r="A25" s="6">
        <v>6</v>
      </c>
      <c r="B25" s="7">
        <f>'DANH SÁCH'!C14</f>
        <v>0</v>
      </c>
      <c r="C25" s="62">
        <f>'DANH SÁCH'!D14</f>
        <v>0</v>
      </c>
      <c r="D25" s="8">
        <f>'DANH SÁCH'!F14</f>
        <v>0</v>
      </c>
      <c r="E25" s="6"/>
      <c r="F25" s="9"/>
      <c r="G25" s="9"/>
    </row>
    <row r="26" spans="1:7" ht="30" customHeight="1" x14ac:dyDescent="0.3">
      <c r="A26" s="14"/>
      <c r="B26" s="16" t="s">
        <v>30</v>
      </c>
      <c r="C26" s="59" t="s">
        <v>81</v>
      </c>
      <c r="D26" s="15" t="s">
        <v>9</v>
      </c>
      <c r="E26" s="17" t="s">
        <v>11</v>
      </c>
      <c r="F26" s="19" t="s">
        <v>10</v>
      </c>
      <c r="G26" s="17" t="s">
        <v>31</v>
      </c>
    </row>
    <row r="27" spans="1:7" ht="30" customHeight="1" x14ac:dyDescent="0.3">
      <c r="A27" s="14"/>
      <c r="B27" s="16" t="s">
        <v>82</v>
      </c>
      <c r="C27" s="183" t="s">
        <v>83</v>
      </c>
      <c r="D27" s="184"/>
      <c r="E27" s="18" t="s">
        <v>1</v>
      </c>
      <c r="F27" s="185" t="s">
        <v>84</v>
      </c>
      <c r="G27" s="185"/>
    </row>
    <row r="28" spans="1:7" ht="30" customHeight="1" x14ac:dyDescent="0.25"/>
    <row r="29" spans="1:7" ht="30" customHeight="1" x14ac:dyDescent="0.25">
      <c r="A29" s="182" t="s">
        <v>0</v>
      </c>
      <c r="B29" s="182"/>
      <c r="C29" s="182"/>
      <c r="D29" s="182"/>
      <c r="E29" s="182"/>
      <c r="F29" s="182"/>
      <c r="G29" s="182"/>
    </row>
    <row r="30" spans="1:7" ht="30" customHeight="1" x14ac:dyDescent="0.25"/>
    <row r="31" spans="1:7" ht="60" customHeight="1" x14ac:dyDescent="0.25">
      <c r="A31" s="3" t="s">
        <v>2</v>
      </c>
      <c r="B31" s="4" t="s">
        <v>3</v>
      </c>
      <c r="C31" s="5" t="s">
        <v>4</v>
      </c>
      <c r="D31" s="3" t="s">
        <v>5</v>
      </c>
      <c r="E31" s="3" t="s">
        <v>6</v>
      </c>
      <c r="F31" s="3" t="s">
        <v>7</v>
      </c>
      <c r="G31" s="3" t="s">
        <v>8</v>
      </c>
    </row>
    <row r="32" spans="1:7" ht="57.6" customHeight="1" x14ac:dyDescent="0.25">
      <c r="A32" s="6">
        <v>1</v>
      </c>
      <c r="B32" s="7">
        <f>'DANH SÁCH'!C15</f>
        <v>0</v>
      </c>
      <c r="C32" s="62">
        <f>'DANH SÁCH'!D15</f>
        <v>0</v>
      </c>
      <c r="D32" s="8">
        <f>'DANH SÁCH'!F15</f>
        <v>0</v>
      </c>
      <c r="E32" s="6"/>
      <c r="F32" s="9"/>
      <c r="G32" s="9"/>
    </row>
    <row r="33" spans="1:7" ht="57.6" customHeight="1" x14ac:dyDescent="0.25">
      <c r="A33" s="6">
        <v>2</v>
      </c>
      <c r="B33" s="7">
        <f>'DANH SÁCH'!C16</f>
        <v>0</v>
      </c>
      <c r="C33" s="62">
        <f>'DANH SÁCH'!D16</f>
        <v>0</v>
      </c>
      <c r="D33" s="8">
        <f>'DANH SÁCH'!F16</f>
        <v>0</v>
      </c>
      <c r="E33" s="6"/>
      <c r="F33" s="9"/>
      <c r="G33" s="9"/>
    </row>
    <row r="34" spans="1:7" ht="57.6" customHeight="1" x14ac:dyDescent="0.25">
      <c r="A34" s="6">
        <v>3</v>
      </c>
      <c r="B34" s="7">
        <f>'DANH SÁCH'!C17</f>
        <v>0</v>
      </c>
      <c r="C34" s="62">
        <f>'DANH SÁCH'!D17</f>
        <v>0</v>
      </c>
      <c r="D34" s="8">
        <f>'DANH SÁCH'!F17</f>
        <v>0</v>
      </c>
      <c r="E34" s="6"/>
      <c r="F34" s="9"/>
      <c r="G34" s="9"/>
    </row>
    <row r="35" spans="1:7" ht="57.6" customHeight="1" x14ac:dyDescent="0.25">
      <c r="A35" s="6">
        <v>4</v>
      </c>
      <c r="B35" s="7">
        <f>'DANH SÁCH'!C18</f>
        <v>0</v>
      </c>
      <c r="C35" s="62">
        <f>'DANH SÁCH'!D18</f>
        <v>0</v>
      </c>
      <c r="D35" s="8">
        <f>'DANH SÁCH'!F18</f>
        <v>0</v>
      </c>
      <c r="E35" s="6"/>
      <c r="F35" s="9"/>
      <c r="G35" s="9"/>
    </row>
    <row r="36" spans="1:7" ht="57.6" customHeight="1" x14ac:dyDescent="0.25">
      <c r="A36" s="6">
        <v>5</v>
      </c>
      <c r="B36" s="7">
        <f>'DANH SÁCH'!C19</f>
        <v>0</v>
      </c>
      <c r="C36" s="62">
        <f>'DANH SÁCH'!D19</f>
        <v>0</v>
      </c>
      <c r="D36" s="8">
        <f>'DANH SÁCH'!F19</f>
        <v>0</v>
      </c>
      <c r="E36" s="6"/>
      <c r="F36" s="9"/>
      <c r="G36" s="9"/>
    </row>
    <row r="37" spans="1:7" ht="57.6" customHeight="1" x14ac:dyDescent="0.25">
      <c r="A37" s="6">
        <v>6</v>
      </c>
      <c r="B37" s="7">
        <f>'DANH SÁCH'!C20</f>
        <v>0</v>
      </c>
      <c r="C37" s="62">
        <f>'DANH SÁCH'!D20</f>
        <v>0</v>
      </c>
      <c r="D37" s="8">
        <f>'DANH SÁCH'!F20</f>
        <v>0</v>
      </c>
      <c r="E37" s="6"/>
      <c r="F37" s="9"/>
      <c r="G37" s="9"/>
    </row>
    <row r="38" spans="1:7" ht="30.2" customHeight="1" x14ac:dyDescent="0.3">
      <c r="A38" s="14"/>
      <c r="B38" s="16" t="s">
        <v>30</v>
      </c>
      <c r="C38" s="59" t="s">
        <v>81</v>
      </c>
      <c r="D38" s="15" t="s">
        <v>9</v>
      </c>
      <c r="E38" s="17" t="s">
        <v>11</v>
      </c>
      <c r="F38" s="19" t="s">
        <v>10</v>
      </c>
      <c r="G38" s="17" t="s">
        <v>31</v>
      </c>
    </row>
    <row r="39" spans="1:7" ht="30.2" customHeight="1" x14ac:dyDescent="0.3">
      <c r="A39" s="14"/>
      <c r="B39" s="16" t="s">
        <v>82</v>
      </c>
      <c r="C39" s="183" t="s">
        <v>83</v>
      </c>
      <c r="D39" s="184"/>
      <c r="E39" s="18" t="s">
        <v>1</v>
      </c>
      <c r="F39" s="185" t="s">
        <v>84</v>
      </c>
      <c r="G39" s="185"/>
    </row>
    <row r="40" spans="1:7" ht="30.2" customHeight="1" x14ac:dyDescent="0.25"/>
    <row r="41" spans="1:7" ht="30.2" customHeight="1" x14ac:dyDescent="0.25">
      <c r="A41" s="182" t="s">
        <v>0</v>
      </c>
      <c r="B41" s="182"/>
      <c r="C41" s="182"/>
      <c r="D41" s="182"/>
      <c r="E41" s="182"/>
      <c r="F41" s="182"/>
      <c r="G41" s="182"/>
    </row>
    <row r="42" spans="1:7" ht="30.2" customHeight="1" x14ac:dyDescent="0.25"/>
    <row r="43" spans="1:7" ht="59.85" customHeight="1" x14ac:dyDescent="0.25">
      <c r="A43" s="3" t="s">
        <v>2</v>
      </c>
      <c r="B43" s="4" t="s">
        <v>3</v>
      </c>
      <c r="C43" s="5" t="s">
        <v>4</v>
      </c>
      <c r="D43" s="3" t="s">
        <v>5</v>
      </c>
      <c r="E43" s="3" t="s">
        <v>6</v>
      </c>
      <c r="F43" s="3" t="s">
        <v>7</v>
      </c>
      <c r="G43" s="3" t="s">
        <v>8</v>
      </c>
    </row>
    <row r="44" spans="1:7" ht="57.6" customHeight="1" x14ac:dyDescent="0.25">
      <c r="A44" s="6">
        <v>1</v>
      </c>
      <c r="B44" s="7">
        <f>'DANH SÁCH'!C21</f>
        <v>0</v>
      </c>
      <c r="C44" s="62">
        <f>'DANH SÁCH'!D21</f>
        <v>0</v>
      </c>
      <c r="D44" s="8">
        <f>'DANH SÁCH'!F21</f>
        <v>0</v>
      </c>
      <c r="E44" s="6"/>
      <c r="F44" s="9"/>
      <c r="G44" s="9"/>
    </row>
    <row r="45" spans="1:7" ht="57.6" customHeight="1" x14ac:dyDescent="0.25">
      <c r="A45" s="6">
        <v>2</v>
      </c>
      <c r="B45" s="7">
        <f>'DANH SÁCH'!C22</f>
        <v>0</v>
      </c>
      <c r="C45" s="62">
        <f>'DANH SÁCH'!D22</f>
        <v>0</v>
      </c>
      <c r="D45" s="8">
        <f>'DANH SÁCH'!F22</f>
        <v>0</v>
      </c>
      <c r="E45" s="6"/>
      <c r="F45" s="9"/>
      <c r="G45" s="9"/>
    </row>
    <row r="46" spans="1:7" ht="57.6" customHeight="1" x14ac:dyDescent="0.25">
      <c r="A46" s="6">
        <v>3</v>
      </c>
      <c r="B46" s="7">
        <f>'DANH SÁCH'!C23</f>
        <v>0</v>
      </c>
      <c r="C46" s="62">
        <f>'DANH SÁCH'!D23</f>
        <v>0</v>
      </c>
      <c r="D46" s="8">
        <f>'DANH SÁCH'!F23</f>
        <v>0</v>
      </c>
      <c r="E46" s="6"/>
      <c r="F46" s="9"/>
      <c r="G46" s="9"/>
    </row>
    <row r="47" spans="1:7" ht="57.6" customHeight="1" x14ac:dyDescent="0.25">
      <c r="A47" s="6">
        <v>4</v>
      </c>
      <c r="B47" s="7">
        <f>'DANH SÁCH'!C24</f>
        <v>0</v>
      </c>
      <c r="C47" s="62">
        <f>'DANH SÁCH'!D24</f>
        <v>0</v>
      </c>
      <c r="D47" s="8">
        <f>'DANH SÁCH'!F24</f>
        <v>0</v>
      </c>
      <c r="E47" s="6"/>
      <c r="F47" s="9"/>
      <c r="G47" s="9"/>
    </row>
    <row r="48" spans="1:7" ht="57.6" customHeight="1" x14ac:dyDescent="0.25">
      <c r="A48" s="6">
        <v>5</v>
      </c>
      <c r="B48" s="7">
        <f>'DANH SÁCH'!C25</f>
        <v>0</v>
      </c>
      <c r="C48" s="62">
        <f>'DANH SÁCH'!D25</f>
        <v>0</v>
      </c>
      <c r="D48" s="8">
        <f>'DANH SÁCH'!F25</f>
        <v>0</v>
      </c>
      <c r="E48" s="6"/>
      <c r="F48" s="9"/>
      <c r="G48" s="9"/>
    </row>
    <row r="49" spans="1:7" ht="57.6" customHeight="1" x14ac:dyDescent="0.25">
      <c r="A49" s="6">
        <v>6</v>
      </c>
      <c r="B49" s="7">
        <f>'DANH SÁCH'!C26</f>
        <v>0</v>
      </c>
      <c r="C49" s="62">
        <f>'DANH SÁCH'!D26</f>
        <v>0</v>
      </c>
      <c r="D49" s="8">
        <f>'DANH SÁCH'!F26</f>
        <v>0</v>
      </c>
      <c r="E49" s="6"/>
      <c r="F49" s="9"/>
      <c r="G49" s="9"/>
    </row>
    <row r="50" spans="1:7" ht="30.2" customHeight="1" x14ac:dyDescent="0.3">
      <c r="A50" s="14"/>
      <c r="B50" s="16" t="s">
        <v>30</v>
      </c>
      <c r="C50" s="59" t="s">
        <v>81</v>
      </c>
      <c r="D50" s="15" t="s">
        <v>9</v>
      </c>
      <c r="E50" s="17" t="s">
        <v>11</v>
      </c>
      <c r="F50" s="19" t="s">
        <v>10</v>
      </c>
      <c r="G50" s="17" t="s">
        <v>31</v>
      </c>
    </row>
    <row r="51" spans="1:7" ht="30.2" customHeight="1" x14ac:dyDescent="0.3">
      <c r="A51" s="14"/>
      <c r="B51" s="16" t="s">
        <v>82</v>
      </c>
      <c r="C51" s="183" t="s">
        <v>83</v>
      </c>
      <c r="D51" s="184"/>
      <c r="E51" s="18" t="s">
        <v>1</v>
      </c>
      <c r="F51" s="185" t="s">
        <v>84</v>
      </c>
      <c r="G51" s="185"/>
    </row>
    <row r="52" spans="1:7" ht="30.2" customHeight="1" x14ac:dyDescent="0.25"/>
    <row r="53" spans="1:7" ht="30.2" customHeight="1" x14ac:dyDescent="0.25">
      <c r="A53" s="182" t="s">
        <v>0</v>
      </c>
      <c r="B53" s="182"/>
      <c r="C53" s="182"/>
      <c r="D53" s="182"/>
      <c r="E53" s="182"/>
      <c r="F53" s="182"/>
      <c r="G53" s="182"/>
    </row>
    <row r="54" spans="1:7" ht="30.2" customHeight="1" x14ac:dyDescent="0.25"/>
    <row r="55" spans="1:7" ht="59.85" customHeight="1" x14ac:dyDescent="0.25">
      <c r="A55" s="3" t="s">
        <v>2</v>
      </c>
      <c r="B55" s="4" t="s">
        <v>3</v>
      </c>
      <c r="C55" s="5" t="s">
        <v>4</v>
      </c>
      <c r="D55" s="3" t="s">
        <v>5</v>
      </c>
      <c r="E55" s="3" t="s">
        <v>6</v>
      </c>
      <c r="F55" s="3" t="s">
        <v>7</v>
      </c>
      <c r="G55" s="3" t="s">
        <v>8</v>
      </c>
    </row>
    <row r="56" spans="1:7" ht="57.6" customHeight="1" x14ac:dyDescent="0.25">
      <c r="A56" s="6">
        <v>1</v>
      </c>
      <c r="B56" s="7">
        <f>'DANH SÁCH'!C27</f>
        <v>0</v>
      </c>
      <c r="C56" s="62">
        <f>'DANH SÁCH'!D27</f>
        <v>0</v>
      </c>
      <c r="D56" s="8">
        <f>'DANH SÁCH'!F27</f>
        <v>0</v>
      </c>
      <c r="E56" s="6"/>
      <c r="F56" s="9"/>
      <c r="G56" s="9"/>
    </row>
    <row r="57" spans="1:7" ht="57.6" customHeight="1" x14ac:dyDescent="0.25">
      <c r="A57" s="6">
        <v>2</v>
      </c>
      <c r="B57" s="7">
        <f>'DANH SÁCH'!C28</f>
        <v>0</v>
      </c>
      <c r="C57" s="62">
        <f>'DANH SÁCH'!D28</f>
        <v>0</v>
      </c>
      <c r="D57" s="8">
        <f>'DANH SÁCH'!F28</f>
        <v>0</v>
      </c>
      <c r="E57" s="6"/>
      <c r="F57" s="9"/>
      <c r="G57" s="9"/>
    </row>
    <row r="58" spans="1:7" ht="57.6" customHeight="1" x14ac:dyDescent="0.25">
      <c r="A58" s="6">
        <v>3</v>
      </c>
      <c r="B58" s="7">
        <f>'DANH SÁCH'!C29</f>
        <v>0</v>
      </c>
      <c r="C58" s="62">
        <f>'DANH SÁCH'!D29</f>
        <v>0</v>
      </c>
      <c r="D58" s="8">
        <f>'DANH SÁCH'!F29</f>
        <v>0</v>
      </c>
      <c r="E58" s="6"/>
      <c r="F58" s="9"/>
      <c r="G58" s="9"/>
    </row>
    <row r="59" spans="1:7" ht="57.6" customHeight="1" x14ac:dyDescent="0.25">
      <c r="A59" s="6">
        <v>4</v>
      </c>
      <c r="B59" s="7">
        <f>'DANH SÁCH'!C30</f>
        <v>0</v>
      </c>
      <c r="C59" s="62">
        <f>'DANH SÁCH'!D30</f>
        <v>0</v>
      </c>
      <c r="D59" s="8">
        <f>'DANH SÁCH'!F30</f>
        <v>0</v>
      </c>
      <c r="E59" s="6"/>
      <c r="F59" s="9"/>
      <c r="G59" s="9"/>
    </row>
    <row r="60" spans="1:7" ht="57.6" customHeight="1" x14ac:dyDescent="0.25">
      <c r="A60" s="6">
        <v>5</v>
      </c>
      <c r="B60" s="7">
        <f>'DANH SÁCH'!C31</f>
        <v>0</v>
      </c>
      <c r="C60" s="62">
        <f>'DANH SÁCH'!D31</f>
        <v>0</v>
      </c>
      <c r="D60" s="8">
        <f>'DANH SÁCH'!F31</f>
        <v>0</v>
      </c>
      <c r="E60" s="6"/>
      <c r="F60" s="9"/>
      <c r="G60" s="9"/>
    </row>
    <row r="61" spans="1:7" ht="57.6" customHeight="1" x14ac:dyDescent="0.25">
      <c r="A61" s="6">
        <v>6</v>
      </c>
      <c r="B61" s="7">
        <f>'DANH SÁCH'!C32</f>
        <v>0</v>
      </c>
      <c r="C61" s="62">
        <f>'DANH SÁCH'!D32</f>
        <v>0</v>
      </c>
      <c r="D61" s="8">
        <f>'DANH SÁCH'!F32</f>
        <v>0</v>
      </c>
      <c r="E61" s="6"/>
      <c r="F61" s="9"/>
      <c r="G61" s="9"/>
    </row>
    <row r="62" spans="1:7" ht="30.2" customHeight="1" x14ac:dyDescent="0.3">
      <c r="A62" s="14"/>
      <c r="B62" s="16" t="s">
        <v>30</v>
      </c>
      <c r="C62" s="59" t="s">
        <v>81</v>
      </c>
      <c r="D62" s="15" t="s">
        <v>9</v>
      </c>
      <c r="E62" s="17" t="s">
        <v>11</v>
      </c>
      <c r="F62" s="19" t="s">
        <v>10</v>
      </c>
      <c r="G62" s="17" t="s">
        <v>31</v>
      </c>
    </row>
    <row r="63" spans="1:7" ht="30.2" customHeight="1" x14ac:dyDescent="0.3">
      <c r="A63" s="14"/>
      <c r="B63" s="16" t="s">
        <v>82</v>
      </c>
      <c r="C63" s="183" t="s">
        <v>83</v>
      </c>
      <c r="D63" s="184"/>
      <c r="E63" s="18" t="s">
        <v>1</v>
      </c>
      <c r="F63" s="185" t="s">
        <v>84</v>
      </c>
      <c r="G63" s="185"/>
    </row>
    <row r="64" spans="1:7" ht="30.2" customHeight="1" x14ac:dyDescent="0.25"/>
    <row r="65" spans="1:7" ht="30.2" customHeight="1" x14ac:dyDescent="0.25">
      <c r="A65" s="182" t="s">
        <v>0</v>
      </c>
      <c r="B65" s="182"/>
      <c r="C65" s="182"/>
      <c r="D65" s="182"/>
      <c r="E65" s="182"/>
      <c r="F65" s="182"/>
      <c r="G65" s="182"/>
    </row>
    <row r="66" spans="1:7" ht="30.2" customHeight="1" x14ac:dyDescent="0.25"/>
    <row r="67" spans="1:7" ht="59.85" customHeight="1" x14ac:dyDescent="0.25">
      <c r="A67" s="3" t="s">
        <v>2</v>
      </c>
      <c r="B67" s="4" t="s">
        <v>3</v>
      </c>
      <c r="C67" s="5" t="s">
        <v>4</v>
      </c>
      <c r="D67" s="3" t="s">
        <v>5</v>
      </c>
      <c r="E67" s="3" t="s">
        <v>6</v>
      </c>
      <c r="F67" s="3" t="s">
        <v>7</v>
      </c>
      <c r="G67" s="3" t="s">
        <v>8</v>
      </c>
    </row>
    <row r="68" spans="1:7" ht="57.6" customHeight="1" x14ac:dyDescent="0.25">
      <c r="A68" s="6">
        <v>1</v>
      </c>
      <c r="B68" s="7">
        <f>'DANH SÁCH'!C33</f>
        <v>0</v>
      </c>
      <c r="C68" s="62">
        <f>'DANH SÁCH'!D33</f>
        <v>0</v>
      </c>
      <c r="D68" s="8">
        <f>'DANH SÁCH'!F33</f>
        <v>0</v>
      </c>
      <c r="E68" s="6"/>
      <c r="F68" s="9"/>
      <c r="G68" s="9"/>
    </row>
    <row r="69" spans="1:7" ht="57.6" customHeight="1" x14ac:dyDescent="0.25">
      <c r="A69" s="6">
        <v>2</v>
      </c>
      <c r="B69" s="7">
        <f>'DANH SÁCH'!C34</f>
        <v>0</v>
      </c>
      <c r="C69" s="62">
        <f>'DANH SÁCH'!D34</f>
        <v>0</v>
      </c>
      <c r="D69" s="8">
        <f>'DANH SÁCH'!F34</f>
        <v>0</v>
      </c>
      <c r="E69" s="6"/>
      <c r="F69" s="9"/>
      <c r="G69" s="9"/>
    </row>
    <row r="70" spans="1:7" ht="57.6" customHeight="1" x14ac:dyDescent="0.25">
      <c r="A70" s="6">
        <v>3</v>
      </c>
      <c r="B70" s="7">
        <f>'DANH SÁCH'!C35</f>
        <v>0</v>
      </c>
      <c r="C70" s="62">
        <f>'DANH SÁCH'!D35</f>
        <v>0</v>
      </c>
      <c r="D70" s="8">
        <f>'DANH SÁCH'!F35</f>
        <v>0</v>
      </c>
      <c r="E70" s="6"/>
      <c r="F70" s="9"/>
      <c r="G70" s="9"/>
    </row>
    <row r="71" spans="1:7" ht="57.6" customHeight="1" x14ac:dyDescent="0.25">
      <c r="A71" s="6">
        <v>4</v>
      </c>
      <c r="B71" s="7">
        <f>'DANH SÁCH'!C36</f>
        <v>0</v>
      </c>
      <c r="C71" s="62">
        <f>'DANH SÁCH'!D36</f>
        <v>0</v>
      </c>
      <c r="D71" s="8">
        <f>'DANH SÁCH'!F36</f>
        <v>0</v>
      </c>
      <c r="E71" s="6"/>
      <c r="F71" s="9"/>
      <c r="G71" s="9"/>
    </row>
    <row r="72" spans="1:7" ht="57.6" customHeight="1" x14ac:dyDescent="0.25">
      <c r="A72" s="6">
        <v>5</v>
      </c>
      <c r="B72" s="7">
        <f>'DANH SÁCH'!C37</f>
        <v>0</v>
      </c>
      <c r="C72" s="62">
        <f>'DANH SÁCH'!D37</f>
        <v>0</v>
      </c>
      <c r="D72" s="8">
        <f>'DANH SÁCH'!F37</f>
        <v>0</v>
      </c>
      <c r="E72" s="6"/>
      <c r="F72" s="9"/>
      <c r="G72" s="9"/>
    </row>
    <row r="73" spans="1:7" ht="57.6" customHeight="1" x14ac:dyDescent="0.25">
      <c r="A73" s="6">
        <v>6</v>
      </c>
      <c r="B73" s="7">
        <f>'DANH SÁCH'!C38</f>
        <v>0</v>
      </c>
      <c r="C73" s="62">
        <f>'DANH SÁCH'!D38</f>
        <v>0</v>
      </c>
      <c r="D73" s="8">
        <f>'DANH SÁCH'!F38</f>
        <v>0</v>
      </c>
      <c r="E73" s="6"/>
      <c r="F73" s="9"/>
      <c r="G73" s="9"/>
    </row>
    <row r="74" spans="1:7" ht="30.2" customHeight="1" x14ac:dyDescent="0.3">
      <c r="A74" s="14"/>
      <c r="B74" s="16" t="s">
        <v>30</v>
      </c>
      <c r="C74" s="59" t="s">
        <v>81</v>
      </c>
      <c r="D74" s="15" t="s">
        <v>9</v>
      </c>
      <c r="E74" s="17" t="s">
        <v>11</v>
      </c>
      <c r="F74" s="19" t="s">
        <v>10</v>
      </c>
      <c r="G74" s="17" t="s">
        <v>31</v>
      </c>
    </row>
    <row r="75" spans="1:7" ht="30.2" customHeight="1" x14ac:dyDescent="0.3">
      <c r="A75" s="14"/>
      <c r="B75" s="16" t="s">
        <v>82</v>
      </c>
      <c r="C75" s="183" t="s">
        <v>83</v>
      </c>
      <c r="D75" s="184"/>
      <c r="E75" s="18" t="s">
        <v>1</v>
      </c>
      <c r="F75" s="185" t="s">
        <v>84</v>
      </c>
      <c r="G75" s="185"/>
    </row>
    <row r="76" spans="1:7" ht="30.2" customHeight="1" x14ac:dyDescent="0.25"/>
    <row r="77" spans="1:7" ht="30.2" customHeight="1" x14ac:dyDescent="0.25">
      <c r="A77" s="182" t="s">
        <v>0</v>
      </c>
      <c r="B77" s="182"/>
      <c r="C77" s="182"/>
      <c r="D77" s="182"/>
      <c r="E77" s="182"/>
      <c r="F77" s="182"/>
      <c r="G77" s="182"/>
    </row>
    <row r="78" spans="1:7" ht="30.2" customHeight="1" x14ac:dyDescent="0.25"/>
    <row r="79" spans="1:7" ht="59.85" customHeight="1" x14ac:dyDescent="0.25">
      <c r="A79" s="3" t="s">
        <v>2</v>
      </c>
      <c r="B79" s="4" t="s">
        <v>3</v>
      </c>
      <c r="C79" s="5" t="s">
        <v>4</v>
      </c>
      <c r="D79" s="3" t="s">
        <v>5</v>
      </c>
      <c r="E79" s="3" t="s">
        <v>6</v>
      </c>
      <c r="F79" s="3" t="s">
        <v>7</v>
      </c>
      <c r="G79" s="3" t="s">
        <v>8</v>
      </c>
    </row>
    <row r="80" spans="1:7" ht="57.6" customHeight="1" x14ac:dyDescent="0.25">
      <c r="A80" s="6">
        <v>1</v>
      </c>
      <c r="B80" s="7">
        <f>'DANH SÁCH'!C39</f>
        <v>0</v>
      </c>
      <c r="C80" s="62">
        <f>'DANH SÁCH'!D39</f>
        <v>0</v>
      </c>
      <c r="D80" s="8">
        <f>'DANH SÁCH'!F39</f>
        <v>0</v>
      </c>
      <c r="E80" s="6"/>
      <c r="F80" s="9"/>
      <c r="G80" s="9"/>
    </row>
    <row r="81" spans="1:7" ht="57.6" customHeight="1" x14ac:dyDescent="0.25">
      <c r="A81" s="6">
        <v>2</v>
      </c>
      <c r="B81" s="7">
        <f>'DANH SÁCH'!C40</f>
        <v>0</v>
      </c>
      <c r="C81" s="62">
        <f>'DANH SÁCH'!D40</f>
        <v>0</v>
      </c>
      <c r="D81" s="8">
        <f>'DANH SÁCH'!F40</f>
        <v>0</v>
      </c>
      <c r="E81" s="6"/>
      <c r="F81" s="9"/>
      <c r="G81" s="9"/>
    </row>
    <row r="82" spans="1:7" ht="57.6" customHeight="1" x14ac:dyDescent="0.25">
      <c r="A82" s="6">
        <v>3</v>
      </c>
      <c r="B82" s="7">
        <f>'DANH SÁCH'!C41</f>
        <v>0</v>
      </c>
      <c r="C82" s="62">
        <f>'DANH SÁCH'!D41</f>
        <v>0</v>
      </c>
      <c r="D82" s="8">
        <f>'DANH SÁCH'!F41</f>
        <v>0</v>
      </c>
      <c r="E82" s="6"/>
      <c r="F82" s="9"/>
      <c r="G82" s="9"/>
    </row>
    <row r="83" spans="1:7" ht="57.6" customHeight="1" x14ac:dyDescent="0.25">
      <c r="A83" s="6">
        <v>4</v>
      </c>
      <c r="B83" s="7">
        <f>'DANH SÁCH'!C42</f>
        <v>0</v>
      </c>
      <c r="C83" s="62">
        <f>'DANH SÁCH'!D42</f>
        <v>0</v>
      </c>
      <c r="D83" s="8">
        <f>'DANH SÁCH'!F42</f>
        <v>0</v>
      </c>
      <c r="E83" s="6"/>
      <c r="F83" s="9"/>
      <c r="G83" s="9"/>
    </row>
    <row r="84" spans="1:7" ht="57.6" customHeight="1" x14ac:dyDescent="0.25">
      <c r="A84" s="6">
        <v>5</v>
      </c>
      <c r="B84" s="7">
        <f>'DANH SÁCH'!C43</f>
        <v>0</v>
      </c>
      <c r="C84" s="62">
        <f>'DANH SÁCH'!D43</f>
        <v>0</v>
      </c>
      <c r="D84" s="8">
        <f>'DANH SÁCH'!F43</f>
        <v>0</v>
      </c>
      <c r="E84" s="6"/>
      <c r="F84" s="9"/>
      <c r="G84" s="9"/>
    </row>
    <row r="85" spans="1:7" ht="57.6" customHeight="1" x14ac:dyDescent="0.25">
      <c r="A85" s="6">
        <v>6</v>
      </c>
      <c r="B85" s="7">
        <f>'DANH SÁCH'!C44</f>
        <v>0</v>
      </c>
      <c r="C85" s="62">
        <f>'DANH SÁCH'!D44</f>
        <v>0</v>
      </c>
      <c r="D85" s="8">
        <f>'DANH SÁCH'!F44</f>
        <v>0</v>
      </c>
      <c r="E85" s="6"/>
      <c r="F85" s="9"/>
      <c r="G85" s="9"/>
    </row>
    <row r="87" spans="1:7" ht="30.2" customHeight="1" x14ac:dyDescent="0.3">
      <c r="A87" s="14"/>
      <c r="B87" s="16" t="s">
        <v>30</v>
      </c>
      <c r="C87" s="59" t="s">
        <v>81</v>
      </c>
      <c r="D87" s="15" t="s">
        <v>9</v>
      </c>
      <c r="E87" s="17" t="s">
        <v>11</v>
      </c>
      <c r="F87" s="19" t="s">
        <v>10</v>
      </c>
      <c r="G87" s="17" t="s">
        <v>31</v>
      </c>
    </row>
    <row r="88" spans="1:7" ht="30.2" customHeight="1" x14ac:dyDescent="0.3">
      <c r="A88" s="14"/>
      <c r="B88" s="16" t="s">
        <v>82</v>
      </c>
      <c r="C88" s="183" t="s">
        <v>83</v>
      </c>
      <c r="D88" s="184"/>
      <c r="E88" s="18" t="s">
        <v>1</v>
      </c>
      <c r="F88" s="185" t="s">
        <v>84</v>
      </c>
      <c r="G88" s="185"/>
    </row>
    <row r="89" spans="1:7" ht="30.2" customHeight="1" x14ac:dyDescent="0.25"/>
    <row r="90" spans="1:7" ht="30.2" customHeight="1" x14ac:dyDescent="0.25">
      <c r="A90" s="182" t="s">
        <v>0</v>
      </c>
      <c r="B90" s="182"/>
      <c r="C90" s="182"/>
      <c r="D90" s="182"/>
      <c r="E90" s="182"/>
      <c r="F90" s="182"/>
      <c r="G90" s="182"/>
    </row>
    <row r="91" spans="1:7" ht="30.2" customHeight="1" x14ac:dyDescent="0.25"/>
    <row r="92" spans="1:7" ht="59.85" customHeight="1" x14ac:dyDescent="0.25">
      <c r="A92" s="3" t="s">
        <v>2</v>
      </c>
      <c r="B92" s="4" t="s">
        <v>3</v>
      </c>
      <c r="C92" s="5" t="s">
        <v>4</v>
      </c>
      <c r="D92" s="3" t="s">
        <v>5</v>
      </c>
      <c r="E92" s="3" t="s">
        <v>6</v>
      </c>
      <c r="F92" s="3" t="s">
        <v>7</v>
      </c>
      <c r="G92" s="3" t="s">
        <v>8</v>
      </c>
    </row>
    <row r="93" spans="1:7" ht="57.6" customHeight="1" x14ac:dyDescent="0.25">
      <c r="A93" s="6">
        <v>1</v>
      </c>
      <c r="B93" s="7">
        <f>'DANH SÁCH'!C45</f>
        <v>0</v>
      </c>
      <c r="C93" s="62">
        <f>'DANH SÁCH'!D45</f>
        <v>0</v>
      </c>
      <c r="D93" s="8">
        <f>'DANH SÁCH'!F45</f>
        <v>0</v>
      </c>
      <c r="E93" s="6"/>
      <c r="F93" s="9"/>
      <c r="G93" s="9"/>
    </row>
    <row r="94" spans="1:7" ht="57.6" customHeight="1" x14ac:dyDescent="0.25">
      <c r="A94" s="6">
        <v>2</v>
      </c>
      <c r="B94" s="7">
        <f>'DANH SÁCH'!C46</f>
        <v>0</v>
      </c>
      <c r="C94" s="62">
        <f>'DANH SÁCH'!D46</f>
        <v>0</v>
      </c>
      <c r="D94" s="8">
        <f>'DANH SÁCH'!F46</f>
        <v>0</v>
      </c>
      <c r="E94" s="6"/>
      <c r="F94" s="9"/>
      <c r="G94" s="9"/>
    </row>
    <row r="95" spans="1:7" ht="57.6" customHeight="1" x14ac:dyDescent="0.25">
      <c r="A95" s="6">
        <v>3</v>
      </c>
      <c r="B95" s="7">
        <f>'DANH SÁCH'!C47</f>
        <v>0</v>
      </c>
      <c r="C95" s="62">
        <f>'DANH SÁCH'!D47</f>
        <v>0</v>
      </c>
      <c r="D95" s="8">
        <f>'DANH SÁCH'!F47</f>
        <v>0</v>
      </c>
      <c r="E95" s="6"/>
      <c r="F95" s="9"/>
      <c r="G95" s="9"/>
    </row>
    <row r="96" spans="1:7" ht="57.6" customHeight="1" x14ac:dyDescent="0.25">
      <c r="A96" s="6">
        <v>4</v>
      </c>
      <c r="B96" s="7">
        <f>'DANH SÁCH'!C48</f>
        <v>0</v>
      </c>
      <c r="C96" s="62">
        <f>'DANH SÁCH'!D48</f>
        <v>0</v>
      </c>
      <c r="D96" s="8">
        <f>'DANH SÁCH'!F48</f>
        <v>0</v>
      </c>
      <c r="E96" s="6"/>
      <c r="F96" s="9"/>
      <c r="G96" s="9"/>
    </row>
    <row r="97" spans="1:7" ht="57.6" customHeight="1" x14ac:dyDescent="0.25">
      <c r="A97" s="6">
        <v>5</v>
      </c>
      <c r="B97" s="7">
        <f>'DANH SÁCH'!C49</f>
        <v>0</v>
      </c>
      <c r="C97" s="62">
        <f>'DANH SÁCH'!D49</f>
        <v>0</v>
      </c>
      <c r="D97" s="8">
        <f>'DANH SÁCH'!F49</f>
        <v>0</v>
      </c>
      <c r="E97" s="6"/>
      <c r="F97" s="9"/>
      <c r="G97" s="9"/>
    </row>
    <row r="98" spans="1:7" ht="57.6" customHeight="1" x14ac:dyDescent="0.25">
      <c r="A98" s="6">
        <v>6</v>
      </c>
      <c r="B98" s="7">
        <f>'DANH SÁCH'!C50</f>
        <v>0</v>
      </c>
      <c r="C98" s="62">
        <f>'DANH SÁCH'!D50</f>
        <v>0</v>
      </c>
      <c r="D98" s="8">
        <f>'DANH SÁCH'!F50</f>
        <v>0</v>
      </c>
      <c r="E98" s="6"/>
      <c r="F98" s="9"/>
      <c r="G98" s="9"/>
    </row>
    <row r="100" spans="1:7" ht="30.2" customHeight="1" x14ac:dyDescent="0.3">
      <c r="A100" s="14"/>
      <c r="B100" s="16" t="s">
        <v>30</v>
      </c>
      <c r="C100" s="59" t="s">
        <v>81</v>
      </c>
      <c r="D100" s="15" t="s">
        <v>9</v>
      </c>
      <c r="E100" s="17" t="s">
        <v>11</v>
      </c>
      <c r="F100" s="19" t="s">
        <v>10</v>
      </c>
      <c r="G100" s="17" t="s">
        <v>31</v>
      </c>
    </row>
    <row r="101" spans="1:7" ht="30.2" customHeight="1" x14ac:dyDescent="0.3">
      <c r="A101" s="14"/>
      <c r="B101" s="16" t="s">
        <v>82</v>
      </c>
      <c r="C101" s="183" t="s">
        <v>83</v>
      </c>
      <c r="D101" s="184"/>
      <c r="E101" s="18" t="s">
        <v>1</v>
      </c>
      <c r="F101" s="185" t="s">
        <v>84</v>
      </c>
      <c r="G101" s="185"/>
    </row>
    <row r="102" spans="1:7" ht="30.2" customHeight="1" x14ac:dyDescent="0.25"/>
    <row r="103" spans="1:7" ht="30.2" customHeight="1" x14ac:dyDescent="0.25">
      <c r="A103" s="182" t="s">
        <v>0</v>
      </c>
      <c r="B103" s="182"/>
      <c r="C103" s="182"/>
      <c r="D103" s="182"/>
      <c r="E103" s="182"/>
      <c r="F103" s="182"/>
      <c r="G103" s="182"/>
    </row>
    <row r="104" spans="1:7" ht="30.2" customHeight="1" x14ac:dyDescent="0.25"/>
    <row r="105" spans="1:7" ht="59.85" customHeight="1" x14ac:dyDescent="0.25">
      <c r="A105" s="3" t="s">
        <v>2</v>
      </c>
      <c r="B105" s="4" t="s">
        <v>3</v>
      </c>
      <c r="C105" s="5" t="s">
        <v>4</v>
      </c>
      <c r="D105" s="3" t="s">
        <v>5</v>
      </c>
      <c r="E105" s="3" t="s">
        <v>6</v>
      </c>
      <c r="F105" s="3" t="s">
        <v>7</v>
      </c>
      <c r="G105" s="3" t="s">
        <v>8</v>
      </c>
    </row>
    <row r="106" spans="1:7" ht="57.6" customHeight="1" x14ac:dyDescent="0.25">
      <c r="A106" s="6">
        <v>1</v>
      </c>
      <c r="B106" s="7">
        <f>'DANH SÁCH'!C51</f>
        <v>0</v>
      </c>
      <c r="C106" s="62">
        <f>'DANH SÁCH'!D51</f>
        <v>0</v>
      </c>
      <c r="D106" s="8">
        <f>'DANH SÁCH'!F51</f>
        <v>0</v>
      </c>
      <c r="E106" s="6"/>
      <c r="F106" s="9"/>
      <c r="G106" s="9"/>
    </row>
    <row r="107" spans="1:7" ht="57.6" customHeight="1" x14ac:dyDescent="0.25">
      <c r="A107" s="6">
        <v>2</v>
      </c>
      <c r="B107" s="7">
        <f>'DANH SÁCH'!C52</f>
        <v>0</v>
      </c>
      <c r="C107" s="62">
        <f>'DANH SÁCH'!D52</f>
        <v>0</v>
      </c>
      <c r="D107" s="8">
        <f>'DANH SÁCH'!F52</f>
        <v>0</v>
      </c>
      <c r="E107" s="6"/>
      <c r="F107" s="9"/>
      <c r="G107" s="9"/>
    </row>
    <row r="108" spans="1:7" ht="57.6" customHeight="1" x14ac:dyDescent="0.25">
      <c r="A108" s="6">
        <v>3</v>
      </c>
      <c r="B108" s="7">
        <f>'DANH SÁCH'!C53</f>
        <v>0</v>
      </c>
      <c r="C108" s="62">
        <f>'DANH SÁCH'!D53</f>
        <v>0</v>
      </c>
      <c r="D108" s="8">
        <f>'DANH SÁCH'!F53</f>
        <v>0</v>
      </c>
      <c r="E108" s="6"/>
      <c r="F108" s="9"/>
      <c r="G108" s="9"/>
    </row>
    <row r="109" spans="1:7" ht="57.6" customHeight="1" x14ac:dyDescent="0.25">
      <c r="A109" s="6">
        <v>4</v>
      </c>
      <c r="B109" s="7">
        <f>'DANH SÁCH'!C54</f>
        <v>0</v>
      </c>
      <c r="C109" s="62">
        <f>'DANH SÁCH'!D54</f>
        <v>0</v>
      </c>
      <c r="D109" s="8">
        <f>'DANH SÁCH'!F54</f>
        <v>0</v>
      </c>
      <c r="E109" s="6"/>
      <c r="F109" s="9"/>
      <c r="G109" s="9"/>
    </row>
    <row r="110" spans="1:7" ht="57.6" customHeight="1" x14ac:dyDescent="0.25">
      <c r="A110" s="6">
        <v>5</v>
      </c>
      <c r="B110" s="7">
        <f>'DANH SÁCH'!C55</f>
        <v>0</v>
      </c>
      <c r="C110" s="62">
        <f>'DANH SÁCH'!D55</f>
        <v>0</v>
      </c>
      <c r="D110" s="8">
        <f>'DANH SÁCH'!F55</f>
        <v>0</v>
      </c>
      <c r="E110" s="6"/>
      <c r="F110" s="9"/>
      <c r="G110" s="9"/>
    </row>
    <row r="111" spans="1:7" ht="57.6" customHeight="1" x14ac:dyDescent="0.25">
      <c r="A111" s="6">
        <v>6</v>
      </c>
      <c r="B111" s="7">
        <f>'DANH SÁCH'!C56</f>
        <v>0</v>
      </c>
      <c r="C111" s="62">
        <f>'DANH SÁCH'!D56</f>
        <v>0</v>
      </c>
      <c r="D111" s="8">
        <f>'DANH SÁCH'!F56</f>
        <v>0</v>
      </c>
      <c r="E111" s="6"/>
      <c r="F111" s="9"/>
      <c r="G111" s="9"/>
    </row>
    <row r="113" spans="1:7" ht="30.2" customHeight="1" x14ac:dyDescent="0.3">
      <c r="A113" s="14"/>
      <c r="B113" s="16" t="s">
        <v>30</v>
      </c>
      <c r="C113" s="59" t="s">
        <v>81</v>
      </c>
      <c r="D113" s="15" t="s">
        <v>9</v>
      </c>
      <c r="E113" s="17" t="s">
        <v>11</v>
      </c>
      <c r="F113" s="19" t="s">
        <v>10</v>
      </c>
      <c r="G113" s="17" t="s">
        <v>31</v>
      </c>
    </row>
    <row r="114" spans="1:7" ht="30.2" customHeight="1" x14ac:dyDescent="0.3">
      <c r="A114" s="14"/>
      <c r="B114" s="16" t="s">
        <v>82</v>
      </c>
      <c r="C114" s="183" t="s">
        <v>83</v>
      </c>
      <c r="D114" s="184"/>
      <c r="E114" s="18" t="s">
        <v>1</v>
      </c>
      <c r="F114" s="185" t="s">
        <v>84</v>
      </c>
      <c r="G114" s="185"/>
    </row>
    <row r="115" spans="1:7" ht="30.2" customHeight="1" x14ac:dyDescent="0.25"/>
    <row r="116" spans="1:7" ht="30.2" customHeight="1" x14ac:dyDescent="0.25">
      <c r="A116" s="182" t="s">
        <v>0</v>
      </c>
      <c r="B116" s="182"/>
      <c r="C116" s="182"/>
      <c r="D116" s="182"/>
      <c r="E116" s="182"/>
      <c r="F116" s="182"/>
      <c r="G116" s="182"/>
    </row>
    <row r="117" spans="1:7" ht="30.2" customHeight="1" x14ac:dyDescent="0.25"/>
    <row r="118" spans="1:7" ht="59.85" customHeight="1" x14ac:dyDescent="0.25">
      <c r="A118" s="3" t="s">
        <v>2</v>
      </c>
      <c r="B118" s="4" t="s">
        <v>3</v>
      </c>
      <c r="C118" s="5" t="s">
        <v>4</v>
      </c>
      <c r="D118" s="3" t="s">
        <v>5</v>
      </c>
      <c r="E118" s="3" t="s">
        <v>6</v>
      </c>
      <c r="F118" s="3" t="s">
        <v>7</v>
      </c>
      <c r="G118" s="3" t="s">
        <v>8</v>
      </c>
    </row>
    <row r="119" spans="1:7" ht="57.6" customHeight="1" x14ac:dyDescent="0.25">
      <c r="A119" s="6">
        <v>1</v>
      </c>
      <c r="B119" s="7">
        <f>'DANH SÁCH'!C57</f>
        <v>0</v>
      </c>
      <c r="C119" s="62">
        <f>'DANH SÁCH'!D57</f>
        <v>0</v>
      </c>
      <c r="D119" s="8">
        <f>'DANH SÁCH'!F57</f>
        <v>0</v>
      </c>
      <c r="E119" s="6"/>
      <c r="F119" s="9"/>
      <c r="G119" s="9"/>
    </row>
    <row r="120" spans="1:7" ht="57.6" customHeight="1" x14ac:dyDescent="0.25">
      <c r="A120" s="6">
        <v>2</v>
      </c>
      <c r="B120" s="7">
        <f>'DANH SÁCH'!C58</f>
        <v>0</v>
      </c>
      <c r="C120" s="62">
        <f>'DANH SÁCH'!D58</f>
        <v>0</v>
      </c>
      <c r="D120" s="8">
        <f>'DANH SÁCH'!F58</f>
        <v>0</v>
      </c>
      <c r="E120" s="6"/>
      <c r="F120" s="9"/>
      <c r="G120" s="9"/>
    </row>
    <row r="121" spans="1:7" ht="57.6" customHeight="1" x14ac:dyDescent="0.25">
      <c r="A121" s="6">
        <v>3</v>
      </c>
      <c r="B121" s="7">
        <f>'DANH SÁCH'!C59</f>
        <v>0</v>
      </c>
      <c r="C121" s="62">
        <f>'DANH SÁCH'!D59</f>
        <v>0</v>
      </c>
      <c r="D121" s="8">
        <f>'DANH SÁCH'!F59</f>
        <v>0</v>
      </c>
      <c r="E121" s="6"/>
      <c r="F121" s="9"/>
      <c r="G121" s="9"/>
    </row>
    <row r="122" spans="1:7" ht="57.6" customHeight="1" x14ac:dyDescent="0.25">
      <c r="A122" s="6">
        <v>4</v>
      </c>
      <c r="B122" s="7">
        <f>'DANH SÁCH'!C60</f>
        <v>0</v>
      </c>
      <c r="C122" s="62">
        <f>'DANH SÁCH'!D60</f>
        <v>0</v>
      </c>
      <c r="D122" s="8">
        <f>'DANH SÁCH'!F60</f>
        <v>0</v>
      </c>
      <c r="E122" s="6"/>
      <c r="F122" s="9"/>
      <c r="G122" s="9"/>
    </row>
    <row r="123" spans="1:7" ht="57.6" customHeight="1" x14ac:dyDescent="0.25">
      <c r="A123" s="6">
        <v>5</v>
      </c>
      <c r="B123" s="7">
        <f>'DANH SÁCH'!C61</f>
        <v>0</v>
      </c>
      <c r="C123" s="62">
        <f>'DANH SÁCH'!D61</f>
        <v>0</v>
      </c>
      <c r="D123" s="8">
        <f>'DANH SÁCH'!F61</f>
        <v>0</v>
      </c>
      <c r="E123" s="6"/>
      <c r="F123" s="9"/>
      <c r="G123" s="9"/>
    </row>
    <row r="124" spans="1:7" ht="57.6" customHeight="1" x14ac:dyDescent="0.25">
      <c r="A124" s="6">
        <v>6</v>
      </c>
      <c r="B124" s="7">
        <f>'DANH SÁCH'!C62</f>
        <v>0</v>
      </c>
      <c r="C124" s="62">
        <f>'DANH SÁCH'!D62</f>
        <v>0</v>
      </c>
      <c r="D124" s="8">
        <f>'DANH SÁCH'!F62</f>
        <v>0</v>
      </c>
      <c r="E124" s="6"/>
      <c r="F124" s="9"/>
      <c r="G124" s="9"/>
    </row>
  </sheetData>
  <mergeCells count="30">
    <mergeCell ref="A65:G65"/>
    <mergeCell ref="A41:G41"/>
    <mergeCell ref="C51:D51"/>
    <mergeCell ref="F51:G51"/>
    <mergeCell ref="A53:G53"/>
    <mergeCell ref="C63:D63"/>
    <mergeCell ref="F63:G63"/>
    <mergeCell ref="A17:G17"/>
    <mergeCell ref="C27:D27"/>
    <mergeCell ref="F27:G27"/>
    <mergeCell ref="A29:G29"/>
    <mergeCell ref="C39:D39"/>
    <mergeCell ref="F39:G39"/>
    <mergeCell ref="A4:G4"/>
    <mergeCell ref="F2:G2"/>
    <mergeCell ref="C2:D2"/>
    <mergeCell ref="C15:D15"/>
    <mergeCell ref="F15:G15"/>
    <mergeCell ref="C75:D75"/>
    <mergeCell ref="F75:G75"/>
    <mergeCell ref="A77:G77"/>
    <mergeCell ref="C88:D88"/>
    <mergeCell ref="F88:G88"/>
    <mergeCell ref="A116:G116"/>
    <mergeCell ref="A90:G90"/>
    <mergeCell ref="C101:D101"/>
    <mergeCell ref="F101:G101"/>
    <mergeCell ref="A103:G103"/>
    <mergeCell ref="C114:D114"/>
    <mergeCell ref="F114:G114"/>
  </mergeCells>
  <pageMargins left="0.7" right="0.17" top="0.24" bottom="0.24" header="0.22" footer="0.17"/>
  <pageSetup paperSize="9" orientation="landscape" r:id="rId1"/>
  <headerFooter>
    <oddHeader>&amp;L&amp;"Times New Roman,Thường"&amp;8NHÓM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E5CB-27A8-466B-B6EA-8E20002C6147}">
  <dimension ref="A1:O43"/>
  <sheetViews>
    <sheetView tabSelected="1" zoomScale="85" zoomScaleNormal="85" workbookViewId="0">
      <selection activeCell="J31" sqref="A1:J43"/>
    </sheetView>
  </sheetViews>
  <sheetFormatPr defaultRowHeight="15" x14ac:dyDescent="0.25"/>
  <cols>
    <col min="1" max="1" width="12" style="20" bestFit="1" customWidth="1"/>
    <col min="2" max="2" width="48" style="20" bestFit="1" customWidth="1"/>
    <col min="3" max="10" width="9.7109375" style="20" customWidth="1"/>
    <col min="11" max="11" width="9.140625" style="20"/>
    <col min="12" max="12" width="55.85546875" style="20" bestFit="1" customWidth="1"/>
    <col min="13" max="13" width="14.7109375" style="20" bestFit="1" customWidth="1"/>
    <col min="14" max="14" width="14.42578125" style="20" bestFit="1" customWidth="1"/>
    <col min="15" max="15" width="23.85546875" style="20" bestFit="1" customWidth="1"/>
    <col min="16" max="16384" width="9.140625" style="20"/>
  </cols>
  <sheetData>
    <row r="1" spans="1:15" ht="21" customHeight="1" x14ac:dyDescent="0.25">
      <c r="A1" s="222" t="s">
        <v>12</v>
      </c>
      <c r="B1" s="131" t="s">
        <v>13</v>
      </c>
      <c r="C1" s="225" t="s">
        <v>14</v>
      </c>
      <c r="D1" s="228" t="s">
        <v>42</v>
      </c>
      <c r="E1" s="228" t="s">
        <v>15</v>
      </c>
      <c r="F1" s="225" t="s">
        <v>16</v>
      </c>
      <c r="G1" s="225"/>
      <c r="H1" s="228" t="s">
        <v>17</v>
      </c>
      <c r="I1" s="225" t="s">
        <v>18</v>
      </c>
      <c r="J1" s="233"/>
    </row>
    <row r="2" spans="1:15" ht="21" customHeight="1" x14ac:dyDescent="0.25">
      <c r="A2" s="223"/>
      <c r="B2" s="87" t="s">
        <v>250</v>
      </c>
      <c r="C2" s="226"/>
      <c r="D2" s="226"/>
      <c r="E2" s="226"/>
      <c r="F2" s="234" t="s">
        <v>19</v>
      </c>
      <c r="G2" s="234" t="s">
        <v>20</v>
      </c>
      <c r="H2" s="226"/>
      <c r="I2" s="191" t="s">
        <v>21</v>
      </c>
      <c r="J2" s="189" t="s">
        <v>273</v>
      </c>
    </row>
    <row r="3" spans="1:15" ht="21" customHeight="1" thickBot="1" x14ac:dyDescent="0.3">
      <c r="A3" s="224"/>
      <c r="B3" s="88" t="s">
        <v>48</v>
      </c>
      <c r="C3" s="227"/>
      <c r="D3" s="227"/>
      <c r="E3" s="227"/>
      <c r="F3" s="227"/>
      <c r="G3" s="227"/>
      <c r="H3" s="227"/>
      <c r="I3" s="192"/>
      <c r="J3" s="190"/>
    </row>
    <row r="4" spans="1:15" ht="21" customHeight="1" thickBot="1" x14ac:dyDescent="0.3">
      <c r="A4" s="156">
        <v>45658</v>
      </c>
      <c r="B4" s="157" t="s">
        <v>49</v>
      </c>
      <c r="C4" s="158" t="s">
        <v>22</v>
      </c>
      <c r="D4" s="158">
        <v>7</v>
      </c>
      <c r="E4" s="158">
        <v>0</v>
      </c>
      <c r="F4" s="158"/>
      <c r="G4" s="158"/>
      <c r="H4" s="158">
        <v>0</v>
      </c>
      <c r="I4" s="158"/>
      <c r="J4" s="159"/>
      <c r="L4" s="232"/>
      <c r="M4" s="232"/>
    </row>
    <row r="5" spans="1:15" ht="21" customHeight="1" x14ac:dyDescent="0.25">
      <c r="A5" s="81"/>
      <c r="B5" s="29" t="s">
        <v>75</v>
      </c>
      <c r="C5" s="229" t="s">
        <v>22</v>
      </c>
      <c r="D5" s="12">
        <v>7</v>
      </c>
      <c r="E5" s="12"/>
      <c r="F5" s="12"/>
      <c r="G5" s="12"/>
      <c r="H5" s="12">
        <f>D5*1.4</f>
        <v>9.7999999999999989</v>
      </c>
      <c r="I5" s="229"/>
      <c r="J5" s="199"/>
    </row>
    <row r="6" spans="1:15" ht="21" customHeight="1" x14ac:dyDescent="0.25">
      <c r="A6" s="85">
        <f>A4</f>
        <v>45658</v>
      </c>
      <c r="B6" s="25"/>
      <c r="C6" s="230"/>
      <c r="D6" s="84">
        <v>3</v>
      </c>
      <c r="E6" s="84"/>
      <c r="F6" s="84"/>
      <c r="G6" s="84"/>
      <c r="H6" s="84">
        <f>D6*1.4</f>
        <v>4.1999999999999993</v>
      </c>
      <c r="I6" s="230"/>
      <c r="J6" s="200"/>
    </row>
    <row r="7" spans="1:15" ht="21" customHeight="1" thickBot="1" x14ac:dyDescent="0.3">
      <c r="A7" s="154">
        <f>A6+1</f>
        <v>45659</v>
      </c>
      <c r="B7" s="155"/>
      <c r="C7" s="231"/>
      <c r="D7" s="130">
        <v>4</v>
      </c>
      <c r="E7" s="130"/>
      <c r="F7" s="130"/>
      <c r="G7" s="130"/>
      <c r="H7" s="153">
        <f>D7*1.4</f>
        <v>5.6</v>
      </c>
      <c r="I7" s="231"/>
      <c r="J7" s="201"/>
    </row>
    <row r="8" spans="1:15" ht="21" customHeight="1" x14ac:dyDescent="0.25">
      <c r="A8" s="28"/>
      <c r="B8" s="29" t="s">
        <v>50</v>
      </c>
      <c r="C8" s="213" t="s">
        <v>22</v>
      </c>
      <c r="D8" s="31">
        <v>56</v>
      </c>
      <c r="E8" s="12">
        <f>D8*5</f>
        <v>280</v>
      </c>
      <c r="F8" s="12"/>
      <c r="G8" s="12"/>
      <c r="H8" s="12">
        <f>D8*1.6</f>
        <v>89.600000000000009</v>
      </c>
      <c r="I8" s="218"/>
      <c r="J8" s="238"/>
    </row>
    <row r="9" spans="1:15" ht="21" customHeight="1" x14ac:dyDescent="0.25">
      <c r="A9" s="82">
        <f>A6+1</f>
        <v>45659</v>
      </c>
      <c r="B9" s="24" t="s">
        <v>23</v>
      </c>
      <c r="C9" s="235"/>
      <c r="D9" s="83">
        <v>6</v>
      </c>
      <c r="E9" s="84">
        <f>D9*5</f>
        <v>30</v>
      </c>
      <c r="F9" s="84"/>
      <c r="G9" s="84"/>
      <c r="H9" s="84">
        <f>D9*1.6</f>
        <v>9.6000000000000014</v>
      </c>
      <c r="I9" s="237"/>
      <c r="J9" s="239"/>
    </row>
    <row r="10" spans="1:15" ht="21" customHeight="1" x14ac:dyDescent="0.25">
      <c r="A10" s="82">
        <f>A9+1</f>
        <v>45660</v>
      </c>
      <c r="B10" s="24" t="s">
        <v>24</v>
      </c>
      <c r="C10" s="235"/>
      <c r="D10" s="83">
        <v>10</v>
      </c>
      <c r="E10" s="84">
        <f t="shared" ref="E10:E14" si="0">D10*5</f>
        <v>50</v>
      </c>
      <c r="F10" s="84"/>
      <c r="G10" s="84"/>
      <c r="H10" s="84">
        <f t="shared" ref="H10:H14" si="1">D10*1.6</f>
        <v>16</v>
      </c>
      <c r="I10" s="237"/>
      <c r="J10" s="239"/>
      <c r="L10" s="113"/>
      <c r="M10" s="113" t="s">
        <v>278</v>
      </c>
      <c r="N10" s="113" t="s">
        <v>279</v>
      </c>
      <c r="O10" s="113" t="s">
        <v>280</v>
      </c>
    </row>
    <row r="11" spans="1:15" ht="21" customHeight="1" x14ac:dyDescent="0.25">
      <c r="A11" s="82">
        <f>A10+1</f>
        <v>45661</v>
      </c>
      <c r="B11" s="24" t="s">
        <v>52</v>
      </c>
      <c r="C11" s="235"/>
      <c r="D11" s="83">
        <v>10</v>
      </c>
      <c r="E11" s="84">
        <f t="shared" si="0"/>
        <v>50</v>
      </c>
      <c r="F11" s="84"/>
      <c r="G11" s="84"/>
      <c r="H11" s="84">
        <f t="shared" si="1"/>
        <v>16</v>
      </c>
      <c r="I11" s="237"/>
      <c r="J11" s="239"/>
      <c r="L11" s="113" t="s">
        <v>249</v>
      </c>
      <c r="M11" s="114">
        <f>43*7</f>
        <v>301</v>
      </c>
      <c r="N11" s="114">
        <f>275*7</f>
        <v>1925</v>
      </c>
      <c r="O11" s="114"/>
    </row>
    <row r="12" spans="1:15" ht="21" customHeight="1" x14ac:dyDescent="0.25">
      <c r="A12" s="82">
        <f t="shared" ref="A12:A14" si="2">A11+1</f>
        <v>45662</v>
      </c>
      <c r="B12" s="24"/>
      <c r="C12" s="235"/>
      <c r="D12" s="83">
        <v>10</v>
      </c>
      <c r="E12" s="84">
        <f t="shared" si="0"/>
        <v>50</v>
      </c>
      <c r="F12" s="84"/>
      <c r="G12" s="84"/>
      <c r="H12" s="84">
        <f t="shared" si="1"/>
        <v>16</v>
      </c>
      <c r="I12" s="237"/>
      <c r="J12" s="239"/>
      <c r="L12" s="114" t="s">
        <v>264</v>
      </c>
      <c r="M12" s="114" t="s">
        <v>263</v>
      </c>
      <c r="N12" s="114" t="s">
        <v>277</v>
      </c>
      <c r="O12" s="114"/>
    </row>
    <row r="13" spans="1:15" ht="21" customHeight="1" x14ac:dyDescent="0.25">
      <c r="A13" s="82">
        <f t="shared" si="2"/>
        <v>45663</v>
      </c>
      <c r="B13" s="24"/>
      <c r="C13" s="235"/>
      <c r="D13" s="83">
        <v>10</v>
      </c>
      <c r="E13" s="84">
        <f t="shared" si="0"/>
        <v>50</v>
      </c>
      <c r="F13" s="84"/>
      <c r="G13" s="84"/>
      <c r="H13" s="84">
        <f t="shared" si="1"/>
        <v>16</v>
      </c>
      <c r="I13" s="237"/>
      <c r="J13" s="239"/>
      <c r="L13" s="114" t="s">
        <v>256</v>
      </c>
      <c r="M13" s="114">
        <v>1</v>
      </c>
      <c r="N13" s="114">
        <v>7</v>
      </c>
      <c r="O13" s="186" t="s">
        <v>282</v>
      </c>
    </row>
    <row r="14" spans="1:15" ht="21" customHeight="1" thickBot="1" x14ac:dyDescent="0.3">
      <c r="A14" s="82">
        <f t="shared" si="2"/>
        <v>45664</v>
      </c>
      <c r="B14" s="137"/>
      <c r="C14" s="236"/>
      <c r="D14" s="152">
        <v>10</v>
      </c>
      <c r="E14" s="153">
        <f t="shared" si="0"/>
        <v>50</v>
      </c>
      <c r="F14" s="153"/>
      <c r="G14" s="153"/>
      <c r="H14" s="153">
        <f t="shared" si="1"/>
        <v>16</v>
      </c>
      <c r="I14" s="231"/>
      <c r="J14" s="201"/>
      <c r="L14" s="114" t="s">
        <v>257</v>
      </c>
      <c r="M14" s="114">
        <v>1</v>
      </c>
      <c r="N14" s="114">
        <v>7</v>
      </c>
      <c r="O14" s="187"/>
    </row>
    <row r="15" spans="1:15" ht="21" customHeight="1" x14ac:dyDescent="0.25">
      <c r="A15" s="211"/>
      <c r="B15" s="220" t="s">
        <v>259</v>
      </c>
      <c r="C15" s="213" t="s">
        <v>22</v>
      </c>
      <c r="D15" s="216">
        <v>56</v>
      </c>
      <c r="E15" s="218">
        <f>D15*5</f>
        <v>280</v>
      </c>
      <c r="F15" s="218"/>
      <c r="G15" s="218"/>
      <c r="H15" s="218">
        <f>D15*1.6</f>
        <v>89.600000000000009</v>
      </c>
      <c r="I15" s="218"/>
      <c r="J15" s="238"/>
      <c r="L15" s="114" t="s">
        <v>258</v>
      </c>
      <c r="M15" s="114">
        <v>8</v>
      </c>
      <c r="N15" s="114">
        <v>56</v>
      </c>
      <c r="O15" s="187"/>
    </row>
    <row r="16" spans="1:15" ht="21" customHeight="1" x14ac:dyDescent="0.25">
      <c r="A16" s="212"/>
      <c r="B16" s="221"/>
      <c r="C16" s="214"/>
      <c r="D16" s="217"/>
      <c r="E16" s="219"/>
      <c r="F16" s="219"/>
      <c r="G16" s="219"/>
      <c r="H16" s="219"/>
      <c r="I16" s="219"/>
      <c r="J16" s="241"/>
      <c r="L16" s="114" t="s">
        <v>260</v>
      </c>
      <c r="M16" s="114">
        <v>8</v>
      </c>
      <c r="N16" s="114">
        <v>56</v>
      </c>
      <c r="O16" s="187"/>
    </row>
    <row r="17" spans="1:15" ht="21" customHeight="1" x14ac:dyDescent="0.25">
      <c r="A17" s="80">
        <f>A14+1</f>
        <v>45665</v>
      </c>
      <c r="B17" s="24" t="s">
        <v>53</v>
      </c>
      <c r="C17" s="214"/>
      <c r="D17" s="23">
        <v>10</v>
      </c>
      <c r="E17" s="13">
        <f>D17*5</f>
        <v>50</v>
      </c>
      <c r="F17" s="13"/>
      <c r="G17" s="13"/>
      <c r="H17" s="13">
        <f>D17*1.6</f>
        <v>16</v>
      </c>
      <c r="I17" s="219"/>
      <c r="J17" s="241"/>
      <c r="L17" s="114" t="s">
        <v>261</v>
      </c>
      <c r="M17" s="114">
        <v>8</v>
      </c>
      <c r="N17" s="114">
        <v>56</v>
      </c>
      <c r="O17" s="187"/>
    </row>
    <row r="18" spans="1:15" ht="21" customHeight="1" x14ac:dyDescent="0.25">
      <c r="A18" s="80">
        <f>A17+1</f>
        <v>45666</v>
      </c>
      <c r="B18" s="24" t="s">
        <v>51</v>
      </c>
      <c r="C18" s="214"/>
      <c r="D18" s="23">
        <v>10</v>
      </c>
      <c r="E18" s="13">
        <f t="shared" ref="E18:E30" si="3">D18*5</f>
        <v>50</v>
      </c>
      <c r="F18" s="13"/>
      <c r="G18" s="13"/>
      <c r="H18" s="13">
        <f t="shared" ref="H18:H22" si="4">D18*1.6</f>
        <v>16</v>
      </c>
      <c r="I18" s="219"/>
      <c r="J18" s="241"/>
      <c r="L18" s="114" t="s">
        <v>262</v>
      </c>
      <c r="M18" s="114">
        <v>17</v>
      </c>
      <c r="N18" s="114">
        <v>119</v>
      </c>
      <c r="O18" s="187"/>
    </row>
    <row r="19" spans="1:15" ht="21" customHeight="1" x14ac:dyDescent="0.25">
      <c r="A19" s="80">
        <f t="shared" ref="A19:A22" si="5">A18+1</f>
        <v>45667</v>
      </c>
      <c r="B19" s="26" t="s">
        <v>25</v>
      </c>
      <c r="C19" s="214"/>
      <c r="D19" s="23">
        <v>10</v>
      </c>
      <c r="E19" s="13">
        <f t="shared" si="3"/>
        <v>50</v>
      </c>
      <c r="F19" s="13"/>
      <c r="G19" s="13"/>
      <c r="H19" s="13">
        <f t="shared" si="4"/>
        <v>16</v>
      </c>
      <c r="I19" s="219"/>
      <c r="J19" s="241"/>
      <c r="L19" s="114" t="s">
        <v>265</v>
      </c>
      <c r="M19" s="114">
        <v>10</v>
      </c>
      <c r="N19" s="114">
        <v>70</v>
      </c>
      <c r="O19" s="186" t="s">
        <v>281</v>
      </c>
    </row>
    <row r="20" spans="1:15" ht="21" customHeight="1" x14ac:dyDescent="0.25">
      <c r="A20" s="80">
        <f>A19+1</f>
        <v>45668</v>
      </c>
      <c r="B20" s="24" t="s">
        <v>76</v>
      </c>
      <c r="C20" s="214"/>
      <c r="D20" s="23">
        <v>10</v>
      </c>
      <c r="E20" s="13">
        <f t="shared" si="3"/>
        <v>50</v>
      </c>
      <c r="F20" s="13"/>
      <c r="G20" s="13"/>
      <c r="H20" s="13">
        <f t="shared" si="4"/>
        <v>16</v>
      </c>
      <c r="I20" s="219"/>
      <c r="J20" s="241"/>
      <c r="L20" s="114" t="s">
        <v>266</v>
      </c>
      <c r="M20" s="114">
        <v>10</v>
      </c>
      <c r="N20" s="114">
        <v>70</v>
      </c>
      <c r="O20" s="187"/>
    </row>
    <row r="21" spans="1:15" ht="21" customHeight="1" x14ac:dyDescent="0.25">
      <c r="A21" s="80">
        <f>A20+1</f>
        <v>45669</v>
      </c>
      <c r="B21" s="24"/>
      <c r="C21" s="214"/>
      <c r="D21" s="23">
        <v>10</v>
      </c>
      <c r="E21" s="13">
        <f t="shared" si="3"/>
        <v>50</v>
      </c>
      <c r="F21" s="13"/>
      <c r="G21" s="13"/>
      <c r="H21" s="13">
        <f t="shared" si="4"/>
        <v>16</v>
      </c>
      <c r="I21" s="219"/>
      <c r="J21" s="241"/>
      <c r="L21" s="114" t="s">
        <v>267</v>
      </c>
      <c r="M21" s="114">
        <v>12</v>
      </c>
      <c r="N21" s="114">
        <v>84</v>
      </c>
      <c r="O21" s="187"/>
    </row>
    <row r="22" spans="1:15" ht="21" customHeight="1" thickBot="1" x14ac:dyDescent="0.3">
      <c r="A22" s="80">
        <f t="shared" si="5"/>
        <v>45670</v>
      </c>
      <c r="B22" s="137"/>
      <c r="C22" s="215"/>
      <c r="D22" s="140">
        <v>6</v>
      </c>
      <c r="E22" s="130">
        <f t="shared" si="3"/>
        <v>30</v>
      </c>
      <c r="F22" s="130"/>
      <c r="G22" s="130"/>
      <c r="H22" s="130">
        <f t="shared" si="4"/>
        <v>9.6000000000000014</v>
      </c>
      <c r="I22" s="240"/>
      <c r="J22" s="242"/>
      <c r="L22" s="114" t="s">
        <v>269</v>
      </c>
      <c r="M22" s="114">
        <v>2</v>
      </c>
      <c r="N22" s="114">
        <v>14</v>
      </c>
      <c r="O22" s="187"/>
    </row>
    <row r="23" spans="1:15" ht="20.100000000000001" customHeight="1" x14ac:dyDescent="0.25">
      <c r="A23" s="283"/>
      <c r="B23" s="29" t="s">
        <v>271</v>
      </c>
      <c r="C23" s="193" t="s">
        <v>22</v>
      </c>
      <c r="D23" s="31">
        <v>56</v>
      </c>
      <c r="E23" s="149">
        <f>D23*5</f>
        <v>280</v>
      </c>
      <c r="F23" s="143"/>
      <c r="G23" s="31"/>
      <c r="H23" s="31">
        <f>D23*1.6</f>
        <v>89.600000000000009</v>
      </c>
      <c r="I23" s="196"/>
      <c r="J23" s="199"/>
      <c r="L23" s="114" t="s">
        <v>270</v>
      </c>
      <c r="M23" s="114">
        <v>12</v>
      </c>
      <c r="N23" s="114">
        <v>84</v>
      </c>
      <c r="O23" s="187"/>
    </row>
    <row r="24" spans="1:15" ht="20.100000000000001" customHeight="1" x14ac:dyDescent="0.25">
      <c r="A24" s="284">
        <f>A22</f>
        <v>45670</v>
      </c>
      <c r="B24" s="24" t="s">
        <v>26</v>
      </c>
      <c r="C24" s="194"/>
      <c r="D24" s="83">
        <v>4</v>
      </c>
      <c r="E24" s="145">
        <f t="shared" si="3"/>
        <v>20</v>
      </c>
      <c r="F24" s="146"/>
      <c r="G24" s="23"/>
      <c r="H24" s="23">
        <f>D24*1.6</f>
        <v>6.4</v>
      </c>
      <c r="I24" s="197"/>
      <c r="J24" s="200"/>
      <c r="L24" s="114" t="s">
        <v>268</v>
      </c>
      <c r="M24" s="114">
        <v>2</v>
      </c>
      <c r="N24" s="114">
        <v>14</v>
      </c>
      <c r="O24" s="188"/>
    </row>
    <row r="25" spans="1:15" ht="20.100000000000001" customHeight="1" x14ac:dyDescent="0.25">
      <c r="A25" s="284">
        <f>A24+1</f>
        <v>45671</v>
      </c>
      <c r="B25" s="24" t="s">
        <v>27</v>
      </c>
      <c r="C25" s="194"/>
      <c r="D25" s="83">
        <v>10</v>
      </c>
      <c r="E25" s="145">
        <f t="shared" si="3"/>
        <v>50</v>
      </c>
      <c r="F25" s="146"/>
      <c r="G25" s="23"/>
      <c r="H25" s="23">
        <f>D25*1.6</f>
        <v>16</v>
      </c>
      <c r="I25" s="197"/>
      <c r="J25" s="200"/>
    </row>
    <row r="26" spans="1:15" ht="20.100000000000001" customHeight="1" x14ac:dyDescent="0.25">
      <c r="A26" s="284">
        <f t="shared" ref="A26:A30" si="6">A25+1</f>
        <v>45672</v>
      </c>
      <c r="B26" s="24" t="s">
        <v>77</v>
      </c>
      <c r="C26" s="194"/>
      <c r="D26" s="83">
        <v>10</v>
      </c>
      <c r="E26" s="145">
        <f t="shared" si="3"/>
        <v>50</v>
      </c>
      <c r="F26" s="146"/>
      <c r="G26" s="23"/>
      <c r="H26" s="23">
        <f t="shared" ref="H26:H30" si="7">D26*1.6</f>
        <v>16</v>
      </c>
      <c r="I26" s="197"/>
      <c r="J26" s="200"/>
    </row>
    <row r="27" spans="1:15" ht="20.100000000000001" customHeight="1" x14ac:dyDescent="0.25">
      <c r="A27" s="284">
        <f t="shared" si="6"/>
        <v>45673</v>
      </c>
      <c r="B27" s="24"/>
      <c r="C27" s="194"/>
      <c r="D27" s="83">
        <v>10</v>
      </c>
      <c r="E27" s="145">
        <f t="shared" si="3"/>
        <v>50</v>
      </c>
      <c r="F27" s="146"/>
      <c r="G27" s="23"/>
      <c r="H27" s="23">
        <f t="shared" si="7"/>
        <v>16</v>
      </c>
      <c r="I27" s="197"/>
      <c r="J27" s="200"/>
    </row>
    <row r="28" spans="1:15" ht="20.100000000000001" customHeight="1" x14ac:dyDescent="0.25">
      <c r="A28" s="284">
        <f t="shared" si="6"/>
        <v>45674</v>
      </c>
      <c r="B28" s="24"/>
      <c r="C28" s="194"/>
      <c r="D28" s="83">
        <v>10</v>
      </c>
      <c r="E28" s="145">
        <f t="shared" si="3"/>
        <v>50</v>
      </c>
      <c r="F28" s="146"/>
      <c r="G28" s="23"/>
      <c r="H28" s="23">
        <f t="shared" si="7"/>
        <v>16</v>
      </c>
      <c r="I28" s="197"/>
      <c r="J28" s="200"/>
    </row>
    <row r="29" spans="1:15" ht="20.100000000000001" customHeight="1" x14ac:dyDescent="0.25">
      <c r="A29" s="284">
        <f t="shared" si="6"/>
        <v>45675</v>
      </c>
      <c r="B29" s="24"/>
      <c r="C29" s="280"/>
      <c r="D29" s="279">
        <v>10</v>
      </c>
      <c r="E29" s="281">
        <f t="shared" si="3"/>
        <v>50</v>
      </c>
      <c r="F29" s="147"/>
      <c r="G29" s="282"/>
      <c r="H29" s="282">
        <f t="shared" si="7"/>
        <v>16</v>
      </c>
      <c r="I29" s="197"/>
      <c r="J29" s="200"/>
    </row>
    <row r="30" spans="1:15" ht="20.100000000000001" customHeight="1" thickBot="1" x14ac:dyDescent="0.3">
      <c r="A30" s="284">
        <f t="shared" si="6"/>
        <v>45676</v>
      </c>
      <c r="B30" s="137"/>
      <c r="C30" s="195"/>
      <c r="D30" s="140">
        <v>2</v>
      </c>
      <c r="E30" s="130">
        <f t="shared" si="3"/>
        <v>10</v>
      </c>
      <c r="F30" s="130"/>
      <c r="G30" s="140"/>
      <c r="H30" s="140">
        <f t="shared" si="7"/>
        <v>3.2</v>
      </c>
      <c r="I30" s="198"/>
      <c r="J30" s="201"/>
    </row>
    <row r="31" spans="1:15" ht="21" customHeight="1" x14ac:dyDescent="0.25">
      <c r="A31" s="28"/>
      <c r="B31" s="78" t="s">
        <v>272</v>
      </c>
      <c r="C31" s="202" t="s">
        <v>22</v>
      </c>
      <c r="D31" s="31">
        <v>119</v>
      </c>
      <c r="E31" s="12">
        <v>930</v>
      </c>
      <c r="F31" s="12"/>
      <c r="G31" s="12"/>
      <c r="H31" s="22">
        <f>D31*1.8</f>
        <v>214.20000000000002</v>
      </c>
      <c r="I31" s="205"/>
      <c r="J31" s="208"/>
    </row>
    <row r="32" spans="1:15" ht="21" customHeight="1" x14ac:dyDescent="0.25">
      <c r="A32" s="30">
        <f>A30+1</f>
        <v>45677</v>
      </c>
      <c r="B32" s="27" t="s">
        <v>28</v>
      </c>
      <c r="C32" s="203"/>
      <c r="D32" s="23">
        <v>9</v>
      </c>
      <c r="E32" s="21">
        <f>D32*(E31/D31)</f>
        <v>70.336134453781511</v>
      </c>
      <c r="F32" s="13"/>
      <c r="G32" s="13"/>
      <c r="H32" s="21">
        <f>D32*1.8</f>
        <v>16.2</v>
      </c>
      <c r="I32" s="206"/>
      <c r="J32" s="209"/>
    </row>
    <row r="33" spans="1:10" ht="21" customHeight="1" x14ac:dyDescent="0.25">
      <c r="A33" s="30">
        <f>A32+1</f>
        <v>45678</v>
      </c>
      <c r="B33" s="27" t="s">
        <v>29</v>
      </c>
      <c r="C33" s="203"/>
      <c r="D33" s="23">
        <v>10</v>
      </c>
      <c r="E33" s="21">
        <f t="shared" ref="E33:E43" si="8">D33*(E32/D32)</f>
        <v>78.151260504201673</v>
      </c>
      <c r="F33" s="13"/>
      <c r="G33" s="13"/>
      <c r="H33" s="21">
        <f>D33*1.8</f>
        <v>18</v>
      </c>
      <c r="I33" s="206"/>
      <c r="J33" s="209"/>
    </row>
    <row r="34" spans="1:10" ht="21" customHeight="1" x14ac:dyDescent="0.25">
      <c r="A34" s="30">
        <f t="shared" ref="A34:A43" si="9">A33+1</f>
        <v>45679</v>
      </c>
      <c r="B34" s="27"/>
      <c r="C34" s="203"/>
      <c r="D34" s="23">
        <v>10</v>
      </c>
      <c r="E34" s="21">
        <f t="shared" si="8"/>
        <v>78.151260504201673</v>
      </c>
      <c r="F34" s="13"/>
      <c r="G34" s="13"/>
      <c r="H34" s="21">
        <f t="shared" ref="H34:H43" si="10">D34*1.8</f>
        <v>18</v>
      </c>
      <c r="I34" s="206"/>
      <c r="J34" s="209"/>
    </row>
    <row r="35" spans="1:10" ht="21" customHeight="1" x14ac:dyDescent="0.25">
      <c r="A35" s="30">
        <f t="shared" si="9"/>
        <v>45680</v>
      </c>
      <c r="B35" s="27"/>
      <c r="C35" s="203"/>
      <c r="D35" s="23">
        <v>10</v>
      </c>
      <c r="E35" s="21">
        <f t="shared" si="8"/>
        <v>78.151260504201673</v>
      </c>
      <c r="F35" s="13"/>
      <c r="G35" s="13"/>
      <c r="H35" s="21">
        <f t="shared" si="10"/>
        <v>18</v>
      </c>
      <c r="I35" s="206"/>
      <c r="J35" s="209"/>
    </row>
    <row r="36" spans="1:10" ht="21" customHeight="1" x14ac:dyDescent="0.25">
      <c r="A36" s="30">
        <f t="shared" si="9"/>
        <v>45681</v>
      </c>
      <c r="B36" s="27"/>
      <c r="C36" s="203"/>
      <c r="D36" s="23">
        <v>10</v>
      </c>
      <c r="E36" s="21">
        <f t="shared" si="8"/>
        <v>78.151260504201673</v>
      </c>
      <c r="F36" s="13"/>
      <c r="G36" s="13"/>
      <c r="H36" s="21">
        <f t="shared" si="10"/>
        <v>18</v>
      </c>
      <c r="I36" s="206"/>
      <c r="J36" s="209"/>
    </row>
    <row r="37" spans="1:10" ht="21" customHeight="1" x14ac:dyDescent="0.25">
      <c r="A37" s="30">
        <f t="shared" si="9"/>
        <v>45682</v>
      </c>
      <c r="B37" s="27"/>
      <c r="C37" s="203"/>
      <c r="D37" s="23">
        <v>10</v>
      </c>
      <c r="E37" s="21">
        <f>D37*(E35/D35)</f>
        <v>78.151260504201673</v>
      </c>
      <c r="F37" s="13"/>
      <c r="G37" s="13"/>
      <c r="H37" s="21">
        <f t="shared" si="10"/>
        <v>18</v>
      </c>
      <c r="I37" s="206"/>
      <c r="J37" s="209"/>
    </row>
    <row r="38" spans="1:10" ht="21" customHeight="1" x14ac:dyDescent="0.25">
      <c r="A38" s="30">
        <f t="shared" si="9"/>
        <v>45683</v>
      </c>
      <c r="B38" s="27"/>
      <c r="C38" s="203"/>
      <c r="D38" s="23">
        <v>10</v>
      </c>
      <c r="E38" s="21">
        <f t="shared" si="8"/>
        <v>78.151260504201673</v>
      </c>
      <c r="F38" s="13"/>
      <c r="G38" s="13"/>
      <c r="H38" s="21">
        <f t="shared" si="10"/>
        <v>18</v>
      </c>
      <c r="I38" s="206"/>
      <c r="J38" s="209"/>
    </row>
    <row r="39" spans="1:10" ht="21" customHeight="1" x14ac:dyDescent="0.25">
      <c r="A39" s="30">
        <f t="shared" si="9"/>
        <v>45684</v>
      </c>
      <c r="B39" s="27"/>
      <c r="C39" s="203"/>
      <c r="D39" s="23">
        <v>10</v>
      </c>
      <c r="E39" s="21">
        <f t="shared" si="8"/>
        <v>78.151260504201673</v>
      </c>
      <c r="F39" s="13"/>
      <c r="G39" s="13"/>
      <c r="H39" s="21">
        <f t="shared" si="10"/>
        <v>18</v>
      </c>
      <c r="I39" s="206"/>
      <c r="J39" s="209"/>
    </row>
    <row r="40" spans="1:10" ht="21" customHeight="1" x14ac:dyDescent="0.25">
      <c r="A40" s="30">
        <f t="shared" si="9"/>
        <v>45685</v>
      </c>
      <c r="B40" s="27"/>
      <c r="C40" s="203"/>
      <c r="D40" s="23">
        <v>10</v>
      </c>
      <c r="E40" s="21">
        <f t="shared" si="8"/>
        <v>78.151260504201673</v>
      </c>
      <c r="F40" s="13"/>
      <c r="G40" s="13"/>
      <c r="H40" s="21">
        <f t="shared" si="10"/>
        <v>18</v>
      </c>
      <c r="I40" s="206"/>
      <c r="J40" s="209"/>
    </row>
    <row r="41" spans="1:10" ht="21" customHeight="1" x14ac:dyDescent="0.25">
      <c r="A41" s="30">
        <f t="shared" si="9"/>
        <v>45686</v>
      </c>
      <c r="B41" s="27"/>
      <c r="C41" s="203"/>
      <c r="D41" s="23">
        <v>10</v>
      </c>
      <c r="E41" s="21">
        <f t="shared" si="8"/>
        <v>78.151260504201673</v>
      </c>
      <c r="F41" s="13"/>
      <c r="G41" s="13"/>
      <c r="H41" s="21">
        <f t="shared" si="10"/>
        <v>18</v>
      </c>
      <c r="I41" s="206"/>
      <c r="J41" s="209"/>
    </row>
    <row r="42" spans="1:10" ht="21" customHeight="1" x14ac:dyDescent="0.25">
      <c r="A42" s="30">
        <f t="shared" si="9"/>
        <v>45687</v>
      </c>
      <c r="B42" s="27"/>
      <c r="C42" s="203"/>
      <c r="D42" s="23">
        <v>10</v>
      </c>
      <c r="E42" s="21">
        <f t="shared" si="8"/>
        <v>78.151260504201673</v>
      </c>
      <c r="F42" s="13"/>
      <c r="G42" s="13"/>
      <c r="H42" s="21">
        <f t="shared" si="10"/>
        <v>18</v>
      </c>
      <c r="I42" s="206"/>
      <c r="J42" s="209"/>
    </row>
    <row r="43" spans="1:10" ht="21" customHeight="1" thickBot="1" x14ac:dyDescent="0.3">
      <c r="A43" s="30">
        <f t="shared" si="9"/>
        <v>45688</v>
      </c>
      <c r="B43" s="139"/>
      <c r="C43" s="204"/>
      <c r="D43" s="140">
        <v>10</v>
      </c>
      <c r="E43" s="141">
        <f t="shared" si="8"/>
        <v>78.151260504201673</v>
      </c>
      <c r="F43" s="130"/>
      <c r="G43" s="130"/>
      <c r="H43" s="141">
        <f t="shared" si="10"/>
        <v>18</v>
      </c>
      <c r="I43" s="207"/>
      <c r="J43" s="210"/>
    </row>
  </sheetData>
  <mergeCells count="36">
    <mergeCell ref="I1:J1"/>
    <mergeCell ref="F2:F3"/>
    <mergeCell ref="G2:G3"/>
    <mergeCell ref="H1:H3"/>
    <mergeCell ref="C8:C14"/>
    <mergeCell ref="I8:I14"/>
    <mergeCell ref="J8:J14"/>
    <mergeCell ref="A1:A3"/>
    <mergeCell ref="C1:C3"/>
    <mergeCell ref="D1:D3"/>
    <mergeCell ref="E1:E3"/>
    <mergeCell ref="F1:G1"/>
    <mergeCell ref="C31:C43"/>
    <mergeCell ref="I31:I43"/>
    <mergeCell ref="J31:J43"/>
    <mergeCell ref="A15:A16"/>
    <mergeCell ref="C15:C22"/>
    <mergeCell ref="D15:D16"/>
    <mergeCell ref="E15:E16"/>
    <mergeCell ref="F15:F16"/>
    <mergeCell ref="B15:B16"/>
    <mergeCell ref="G15:G16"/>
    <mergeCell ref="H15:H16"/>
    <mergeCell ref="I15:I22"/>
    <mergeCell ref="J15:J22"/>
    <mergeCell ref="J2:J3"/>
    <mergeCell ref="I2:I3"/>
    <mergeCell ref="C23:C30"/>
    <mergeCell ref="I23:I30"/>
    <mergeCell ref="J23:J30"/>
    <mergeCell ref="C5:C7"/>
    <mergeCell ref="I5:I7"/>
    <mergeCell ref="J5:J7"/>
    <mergeCell ref="L4:M4"/>
    <mergeCell ref="O13:O18"/>
    <mergeCell ref="O19:O2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8E66-1F3D-48F1-A8D4-96AF5C4A183E}">
  <dimension ref="A1:A31"/>
  <sheetViews>
    <sheetView topLeftCell="A9" workbookViewId="0">
      <selection activeCell="A30" sqref="A30"/>
    </sheetView>
  </sheetViews>
  <sheetFormatPr defaultRowHeight="15" x14ac:dyDescent="0.25"/>
  <cols>
    <col min="1" max="1" width="10.7109375" bestFit="1" customWidth="1"/>
  </cols>
  <sheetData>
    <row r="1" spans="1:1" x14ac:dyDescent="0.25">
      <c r="A1" s="285">
        <v>45658</v>
      </c>
    </row>
    <row r="2" spans="1:1" x14ac:dyDescent="0.25">
      <c r="A2" s="285">
        <v>45659</v>
      </c>
    </row>
    <row r="3" spans="1:1" x14ac:dyDescent="0.25">
      <c r="A3" s="285">
        <v>45660</v>
      </c>
    </row>
    <row r="4" spans="1:1" x14ac:dyDescent="0.25">
      <c r="A4" s="285">
        <v>45661</v>
      </c>
    </row>
    <row r="5" spans="1:1" x14ac:dyDescent="0.25">
      <c r="A5" s="285">
        <v>45662</v>
      </c>
    </row>
    <row r="6" spans="1:1" x14ac:dyDescent="0.25">
      <c r="A6" s="285">
        <v>45663</v>
      </c>
    </row>
    <row r="7" spans="1:1" x14ac:dyDescent="0.25">
      <c r="A7" s="285">
        <v>45664</v>
      </c>
    </row>
    <row r="8" spans="1:1" x14ac:dyDescent="0.25">
      <c r="A8" s="285">
        <v>45665</v>
      </c>
    </row>
    <row r="9" spans="1:1" x14ac:dyDescent="0.25">
      <c r="A9" s="285">
        <v>45666</v>
      </c>
    </row>
    <row r="10" spans="1:1" x14ac:dyDescent="0.25">
      <c r="A10" s="285">
        <v>45667</v>
      </c>
    </row>
    <row r="11" spans="1:1" x14ac:dyDescent="0.25">
      <c r="A11" s="285">
        <v>45668</v>
      </c>
    </row>
    <row r="12" spans="1:1" x14ac:dyDescent="0.25">
      <c r="A12" s="285">
        <v>45669</v>
      </c>
    </row>
    <row r="13" spans="1:1" x14ac:dyDescent="0.25">
      <c r="A13" s="285">
        <v>45670</v>
      </c>
    </row>
    <row r="14" spans="1:1" x14ac:dyDescent="0.25">
      <c r="A14" s="285">
        <v>45671</v>
      </c>
    </row>
    <row r="15" spans="1:1" x14ac:dyDescent="0.25">
      <c r="A15" s="285">
        <v>45672</v>
      </c>
    </row>
    <row r="16" spans="1:1" x14ac:dyDescent="0.25">
      <c r="A16" s="285">
        <v>45673</v>
      </c>
    </row>
    <row r="17" spans="1:1" x14ac:dyDescent="0.25">
      <c r="A17" s="285">
        <v>45674</v>
      </c>
    </row>
    <row r="18" spans="1:1" x14ac:dyDescent="0.25">
      <c r="A18" s="285">
        <v>45675</v>
      </c>
    </row>
    <row r="19" spans="1:1" x14ac:dyDescent="0.25">
      <c r="A19" s="285">
        <v>45676</v>
      </c>
    </row>
    <row r="20" spans="1:1" x14ac:dyDescent="0.25">
      <c r="A20" s="285">
        <v>45677</v>
      </c>
    </row>
    <row r="21" spans="1:1" x14ac:dyDescent="0.25">
      <c r="A21" s="285">
        <v>45678</v>
      </c>
    </row>
    <row r="22" spans="1:1" x14ac:dyDescent="0.25">
      <c r="A22" s="285">
        <v>45679</v>
      </c>
    </row>
    <row r="23" spans="1:1" x14ac:dyDescent="0.25">
      <c r="A23" s="285">
        <v>45680</v>
      </c>
    </row>
    <row r="24" spans="1:1" x14ac:dyDescent="0.25">
      <c r="A24" s="285">
        <v>45681</v>
      </c>
    </row>
    <row r="25" spans="1:1" x14ac:dyDescent="0.25">
      <c r="A25" s="285">
        <v>45682</v>
      </c>
    </row>
    <row r="26" spans="1:1" x14ac:dyDescent="0.25">
      <c r="A26" s="285">
        <v>45683</v>
      </c>
    </row>
    <row r="27" spans="1:1" x14ac:dyDescent="0.25">
      <c r="A27" s="285">
        <v>45684</v>
      </c>
    </row>
    <row r="28" spans="1:1" x14ac:dyDescent="0.25">
      <c r="A28" s="285">
        <v>45685</v>
      </c>
    </row>
    <row r="29" spans="1:1" x14ac:dyDescent="0.25">
      <c r="A29" s="285">
        <v>45686</v>
      </c>
    </row>
    <row r="30" spans="1:1" x14ac:dyDescent="0.25">
      <c r="A30" s="285">
        <v>45687</v>
      </c>
    </row>
    <row r="31" spans="1:1" x14ac:dyDescent="0.25">
      <c r="A31" s="285">
        <v>45688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FA53-8082-4320-A068-CD4382BF2599}">
  <dimension ref="A1:N91"/>
  <sheetViews>
    <sheetView topLeftCell="A17" zoomScaleNormal="100" workbookViewId="0">
      <selection activeCell="A38" sqref="A4:XFD38"/>
    </sheetView>
  </sheetViews>
  <sheetFormatPr defaultRowHeight="15" x14ac:dyDescent="0.25"/>
  <cols>
    <col min="1" max="1" width="12" style="20" bestFit="1" customWidth="1"/>
    <col min="2" max="2" width="48" style="20" bestFit="1" customWidth="1"/>
    <col min="3" max="10" width="9.7109375" style="20" customWidth="1"/>
    <col min="12" max="14" width="9.140625" style="20"/>
  </cols>
  <sheetData>
    <row r="1" spans="1:14" ht="24.95" customHeight="1" x14ac:dyDescent="0.25">
      <c r="A1" s="222" t="s">
        <v>12</v>
      </c>
      <c r="B1" s="131" t="s">
        <v>13</v>
      </c>
      <c r="C1" s="225" t="s">
        <v>14</v>
      </c>
      <c r="D1" s="228" t="s">
        <v>42</v>
      </c>
      <c r="E1" s="228" t="s">
        <v>15</v>
      </c>
      <c r="F1" s="225" t="s">
        <v>16</v>
      </c>
      <c r="G1" s="225"/>
      <c r="H1" s="228" t="s">
        <v>17</v>
      </c>
      <c r="I1" s="225" t="s">
        <v>18</v>
      </c>
      <c r="J1" s="233"/>
    </row>
    <row r="2" spans="1:14" ht="24.95" customHeight="1" x14ac:dyDescent="0.25">
      <c r="A2" s="223"/>
      <c r="B2" s="87" t="s">
        <v>250</v>
      </c>
      <c r="C2" s="226"/>
      <c r="D2" s="226"/>
      <c r="E2" s="226"/>
      <c r="F2" s="234" t="s">
        <v>19</v>
      </c>
      <c r="G2" s="234" t="s">
        <v>20</v>
      </c>
      <c r="H2" s="226"/>
      <c r="I2" s="191" t="s">
        <v>21</v>
      </c>
      <c r="J2" s="189" t="s">
        <v>273</v>
      </c>
    </row>
    <row r="3" spans="1:14" ht="24.95" customHeight="1" thickBot="1" x14ac:dyDescent="0.3">
      <c r="A3" s="224"/>
      <c r="B3" s="88" t="s">
        <v>48</v>
      </c>
      <c r="C3" s="227"/>
      <c r="D3" s="227"/>
      <c r="E3" s="227"/>
      <c r="F3" s="227"/>
      <c r="G3" s="227"/>
      <c r="H3" s="227"/>
      <c r="I3" s="192"/>
      <c r="J3" s="190"/>
    </row>
    <row r="4" spans="1:14" ht="30" customHeight="1" thickBot="1" x14ac:dyDescent="0.3">
      <c r="A4" s="156"/>
      <c r="B4" s="157" t="s">
        <v>49</v>
      </c>
      <c r="C4" s="158" t="s">
        <v>22</v>
      </c>
      <c r="D4" s="158">
        <v>6</v>
      </c>
      <c r="E4" s="158">
        <v>0</v>
      </c>
      <c r="F4" s="158"/>
      <c r="G4" s="158"/>
      <c r="H4" s="158">
        <v>0</v>
      </c>
      <c r="I4" s="158"/>
      <c r="J4" s="159"/>
    </row>
    <row r="5" spans="1:14" ht="30" customHeight="1" x14ac:dyDescent="0.25">
      <c r="A5" s="81"/>
      <c r="B5" s="29" t="s">
        <v>75</v>
      </c>
      <c r="C5" s="229" t="s">
        <v>22</v>
      </c>
      <c r="D5" s="12">
        <v>6</v>
      </c>
      <c r="E5" s="12"/>
      <c r="F5" s="12"/>
      <c r="G5" s="12"/>
      <c r="H5" s="12">
        <f>D5*1.4</f>
        <v>8.3999999999999986</v>
      </c>
      <c r="I5" s="229"/>
      <c r="J5" s="199"/>
    </row>
    <row r="6" spans="1:14" ht="30" customHeight="1" x14ac:dyDescent="0.25">
      <c r="A6" s="85"/>
      <c r="B6" s="25"/>
      <c r="C6" s="230"/>
      <c r="D6" s="84"/>
      <c r="E6" s="84"/>
      <c r="F6" s="84"/>
      <c r="G6" s="84"/>
      <c r="H6" s="84"/>
      <c r="I6" s="230"/>
      <c r="J6" s="200"/>
    </row>
    <row r="7" spans="1:14" ht="30" customHeight="1" thickBot="1" x14ac:dyDescent="0.3">
      <c r="A7" s="154"/>
      <c r="B7" s="155"/>
      <c r="C7" s="231"/>
      <c r="D7" s="130"/>
      <c r="E7" s="130"/>
      <c r="F7" s="130"/>
      <c r="G7" s="130"/>
      <c r="H7" s="153"/>
      <c r="I7" s="231"/>
      <c r="J7" s="201"/>
      <c r="M7"/>
      <c r="N7"/>
    </row>
    <row r="8" spans="1:14" ht="30" customHeight="1" x14ac:dyDescent="0.25">
      <c r="A8" s="28"/>
      <c r="B8" s="29" t="s">
        <v>50</v>
      </c>
      <c r="C8" s="213" t="s">
        <v>22</v>
      </c>
      <c r="D8" s="31">
        <v>48</v>
      </c>
      <c r="E8" s="12">
        <f>D8*5</f>
        <v>240</v>
      </c>
      <c r="F8" s="12"/>
      <c r="G8" s="12"/>
      <c r="H8" s="12">
        <f>D8*1.6</f>
        <v>76.800000000000011</v>
      </c>
      <c r="I8" s="218"/>
      <c r="J8" s="238"/>
      <c r="M8"/>
      <c r="N8"/>
    </row>
    <row r="9" spans="1:14" ht="30" customHeight="1" x14ac:dyDescent="0.25">
      <c r="A9" s="82"/>
      <c r="B9" s="24" t="s">
        <v>23</v>
      </c>
      <c r="C9" s="235"/>
      <c r="D9" s="83"/>
      <c r="E9" s="84"/>
      <c r="F9" s="84"/>
      <c r="G9" s="84"/>
      <c r="H9" s="84"/>
      <c r="I9" s="237"/>
      <c r="J9" s="239"/>
      <c r="M9"/>
      <c r="N9"/>
    </row>
    <row r="10" spans="1:14" ht="30" customHeight="1" x14ac:dyDescent="0.25">
      <c r="A10" s="82"/>
      <c r="B10" s="24" t="s">
        <v>24</v>
      </c>
      <c r="C10" s="235"/>
      <c r="D10" s="83"/>
      <c r="E10" s="84"/>
      <c r="F10" s="84"/>
      <c r="G10" s="84"/>
      <c r="H10" s="84"/>
      <c r="I10" s="237"/>
      <c r="J10" s="239"/>
      <c r="M10"/>
      <c r="N10"/>
    </row>
    <row r="11" spans="1:14" ht="30" customHeight="1" x14ac:dyDescent="0.25">
      <c r="A11" s="82"/>
      <c r="B11" s="24"/>
      <c r="C11" s="235"/>
      <c r="D11" s="83"/>
      <c r="E11" s="84"/>
      <c r="F11" s="84"/>
      <c r="G11" s="84"/>
      <c r="H11" s="84"/>
      <c r="I11" s="237"/>
      <c r="J11" s="239"/>
    </row>
    <row r="12" spans="1:14" ht="30" customHeight="1" x14ac:dyDescent="0.25">
      <c r="A12" s="82"/>
      <c r="B12" s="24" t="s">
        <v>52</v>
      </c>
      <c r="C12" s="235"/>
      <c r="D12" s="83"/>
      <c r="E12" s="84"/>
      <c r="F12" s="84"/>
      <c r="G12" s="84"/>
      <c r="H12" s="84"/>
      <c r="I12" s="237"/>
      <c r="J12" s="239"/>
    </row>
    <row r="13" spans="1:14" ht="30" customHeight="1" thickBot="1" x14ac:dyDescent="0.3">
      <c r="A13" s="151"/>
      <c r="B13" s="137"/>
      <c r="C13" s="236"/>
      <c r="D13" s="152"/>
      <c r="E13" s="153"/>
      <c r="F13" s="153"/>
      <c r="G13" s="153"/>
      <c r="H13" s="153"/>
      <c r="I13" s="231"/>
      <c r="J13" s="201"/>
    </row>
    <row r="14" spans="1:14" ht="30" customHeight="1" x14ac:dyDescent="0.25">
      <c r="A14" s="211"/>
      <c r="B14" s="220" t="s">
        <v>259</v>
      </c>
      <c r="C14" s="213" t="s">
        <v>22</v>
      </c>
      <c r="D14" s="216">
        <v>48</v>
      </c>
      <c r="E14" s="218">
        <f>D14*5</f>
        <v>240</v>
      </c>
      <c r="F14" s="218"/>
      <c r="G14" s="218"/>
      <c r="H14" s="218">
        <f>D14*1.6</f>
        <v>76.800000000000011</v>
      </c>
      <c r="I14" s="218"/>
      <c r="J14" s="238"/>
    </row>
    <row r="15" spans="1:14" ht="30" customHeight="1" x14ac:dyDescent="0.25">
      <c r="A15" s="212"/>
      <c r="B15" s="221"/>
      <c r="C15" s="214"/>
      <c r="D15" s="217"/>
      <c r="E15" s="219"/>
      <c r="F15" s="219"/>
      <c r="G15" s="219"/>
      <c r="H15" s="219"/>
      <c r="I15" s="219"/>
      <c r="J15" s="241"/>
    </row>
    <row r="16" spans="1:14" ht="30" customHeight="1" x14ac:dyDescent="0.25">
      <c r="A16" s="80"/>
      <c r="B16" s="24" t="s">
        <v>53</v>
      </c>
      <c r="C16" s="214"/>
      <c r="D16" s="23"/>
      <c r="E16" s="13"/>
      <c r="F16" s="13"/>
      <c r="G16" s="13"/>
      <c r="H16" s="13"/>
      <c r="I16" s="219"/>
      <c r="J16" s="241"/>
    </row>
    <row r="17" spans="1:14" ht="30" customHeight="1" x14ac:dyDescent="0.25">
      <c r="A17" s="80"/>
      <c r="B17" s="24" t="s">
        <v>51</v>
      </c>
      <c r="C17" s="214"/>
      <c r="D17" s="23"/>
      <c r="E17" s="13"/>
      <c r="F17" s="13"/>
      <c r="G17" s="13"/>
      <c r="H17" s="13"/>
      <c r="I17" s="219"/>
      <c r="J17" s="241"/>
    </row>
    <row r="18" spans="1:14" ht="30" customHeight="1" x14ac:dyDescent="0.25">
      <c r="A18" s="80"/>
      <c r="B18" s="26" t="s">
        <v>25</v>
      </c>
      <c r="C18" s="214"/>
      <c r="D18" s="23"/>
      <c r="E18" s="13"/>
      <c r="F18" s="13"/>
      <c r="G18" s="13"/>
      <c r="H18" s="13"/>
      <c r="I18" s="219"/>
      <c r="J18" s="241"/>
    </row>
    <row r="19" spans="1:14" ht="30" customHeight="1" x14ac:dyDescent="0.25">
      <c r="A19" s="80"/>
      <c r="B19" s="24" t="s">
        <v>76</v>
      </c>
      <c r="C19" s="214"/>
      <c r="D19" s="23"/>
      <c r="E19" s="13"/>
      <c r="F19" s="13"/>
      <c r="G19" s="13"/>
      <c r="H19" s="13"/>
      <c r="I19" s="219"/>
      <c r="J19" s="241"/>
    </row>
    <row r="20" spans="1:14" s="32" customFormat="1" ht="30" customHeight="1" thickBot="1" x14ac:dyDescent="0.3">
      <c r="A20" s="150"/>
      <c r="B20" s="137"/>
      <c r="C20" s="215"/>
      <c r="D20" s="140"/>
      <c r="E20" s="130"/>
      <c r="F20" s="130"/>
      <c r="G20" s="130"/>
      <c r="H20" s="130"/>
      <c r="I20" s="240"/>
      <c r="J20" s="242"/>
    </row>
    <row r="21" spans="1:14" s="32" customFormat="1" ht="30" customHeight="1" x14ac:dyDescent="0.25">
      <c r="A21" s="142"/>
      <c r="B21" s="29" t="s">
        <v>271</v>
      </c>
      <c r="C21" s="193" t="s">
        <v>22</v>
      </c>
      <c r="D21" s="31">
        <v>48</v>
      </c>
      <c r="E21" s="149">
        <f>D21*5</f>
        <v>240</v>
      </c>
      <c r="F21" s="143"/>
      <c r="G21" s="31"/>
      <c r="H21" s="31">
        <f>D21*1.6</f>
        <v>76.800000000000011</v>
      </c>
      <c r="I21" s="196"/>
      <c r="J21" s="199"/>
    </row>
    <row r="22" spans="1:14" s="32" customFormat="1" ht="30" customHeight="1" x14ac:dyDescent="0.25">
      <c r="A22" s="144"/>
      <c r="B22" s="24" t="s">
        <v>26</v>
      </c>
      <c r="C22" s="194"/>
      <c r="D22" s="83"/>
      <c r="E22" s="145"/>
      <c r="F22" s="146"/>
      <c r="G22" s="23"/>
      <c r="H22" s="23"/>
      <c r="I22" s="197"/>
      <c r="J22" s="200"/>
    </row>
    <row r="23" spans="1:14" s="32" customFormat="1" ht="30" customHeight="1" x14ac:dyDescent="0.25">
      <c r="A23" s="144"/>
      <c r="B23" s="24" t="s">
        <v>27</v>
      </c>
      <c r="C23" s="194"/>
      <c r="D23" s="83"/>
      <c r="E23" s="145"/>
      <c r="F23" s="146"/>
      <c r="G23" s="23"/>
      <c r="H23" s="23"/>
      <c r="I23" s="197"/>
      <c r="J23" s="200"/>
    </row>
    <row r="24" spans="1:14" ht="30" customHeight="1" x14ac:dyDescent="0.25">
      <c r="A24" s="144"/>
      <c r="B24" s="24" t="s">
        <v>77</v>
      </c>
      <c r="C24" s="194"/>
      <c r="D24" s="83"/>
      <c r="E24" s="145"/>
      <c r="F24" s="146"/>
      <c r="G24" s="23"/>
      <c r="H24" s="23"/>
      <c r="I24" s="197"/>
      <c r="J24" s="200"/>
    </row>
    <row r="25" spans="1:14" ht="30" customHeight="1" x14ac:dyDescent="0.25">
      <c r="A25" s="144"/>
      <c r="B25" s="24"/>
      <c r="C25" s="194"/>
      <c r="D25" s="83"/>
      <c r="E25" s="145"/>
      <c r="F25" s="146"/>
      <c r="G25" s="23"/>
      <c r="H25" s="23"/>
      <c r="I25" s="197"/>
      <c r="J25" s="200"/>
    </row>
    <row r="26" spans="1:14" ht="30" customHeight="1" thickBot="1" x14ac:dyDescent="0.3">
      <c r="A26" s="148"/>
      <c r="B26" s="137"/>
      <c r="C26" s="195"/>
      <c r="D26" s="140"/>
      <c r="E26" s="130"/>
      <c r="F26" s="130"/>
      <c r="G26" s="140"/>
      <c r="H26" s="140"/>
      <c r="I26" s="198"/>
      <c r="J26" s="201"/>
      <c r="L26"/>
      <c r="M26"/>
      <c r="N26"/>
    </row>
    <row r="27" spans="1:14" ht="30" customHeight="1" x14ac:dyDescent="0.25">
      <c r="A27" s="28"/>
      <c r="B27" s="78" t="s">
        <v>272</v>
      </c>
      <c r="C27" s="202" t="s">
        <v>22</v>
      </c>
      <c r="D27" s="31">
        <v>102</v>
      </c>
      <c r="E27" s="12">
        <v>930</v>
      </c>
      <c r="F27" s="12"/>
      <c r="G27" s="12"/>
      <c r="H27" s="22">
        <f>D27*1.8</f>
        <v>183.6</v>
      </c>
      <c r="I27" s="205"/>
      <c r="J27" s="208"/>
      <c r="L27"/>
      <c r="M27"/>
      <c r="N27"/>
    </row>
    <row r="28" spans="1:14" ht="30" customHeight="1" x14ac:dyDescent="0.25">
      <c r="A28" s="30"/>
      <c r="B28" s="27" t="s">
        <v>28</v>
      </c>
      <c r="C28" s="203"/>
      <c r="D28" s="23"/>
      <c r="E28" s="21"/>
      <c r="F28" s="13"/>
      <c r="G28" s="13"/>
      <c r="H28" s="21"/>
      <c r="I28" s="206"/>
      <c r="J28" s="209"/>
      <c r="L28"/>
      <c r="M28"/>
      <c r="N28"/>
    </row>
    <row r="29" spans="1:14" ht="30" customHeight="1" x14ac:dyDescent="0.25">
      <c r="A29" s="30"/>
      <c r="B29" s="27" t="s">
        <v>29</v>
      </c>
      <c r="C29" s="203"/>
      <c r="D29" s="23"/>
      <c r="E29" s="21"/>
      <c r="F29" s="13"/>
      <c r="G29" s="13"/>
      <c r="H29" s="21"/>
      <c r="I29" s="206"/>
      <c r="J29" s="209"/>
      <c r="L29"/>
      <c r="M29"/>
      <c r="N29"/>
    </row>
    <row r="30" spans="1:14" ht="30" customHeight="1" x14ac:dyDescent="0.25">
      <c r="A30" s="30"/>
      <c r="B30" s="27"/>
      <c r="C30" s="203"/>
      <c r="D30" s="23"/>
      <c r="E30" s="21"/>
      <c r="F30" s="13"/>
      <c r="G30" s="13"/>
      <c r="H30" s="21"/>
      <c r="I30" s="206"/>
      <c r="J30" s="209"/>
      <c r="L30"/>
      <c r="M30"/>
      <c r="N30"/>
    </row>
    <row r="31" spans="1:14" ht="30" customHeight="1" x14ac:dyDescent="0.25">
      <c r="A31" s="30"/>
      <c r="B31" s="27"/>
      <c r="C31" s="203"/>
      <c r="D31" s="23"/>
      <c r="E31" s="21"/>
      <c r="F31" s="13"/>
      <c r="G31" s="13"/>
      <c r="H31" s="21"/>
      <c r="I31" s="206"/>
      <c r="J31" s="209"/>
      <c r="L31"/>
      <c r="M31"/>
      <c r="N31"/>
    </row>
    <row r="32" spans="1:14" ht="30" customHeight="1" x14ac:dyDescent="0.25">
      <c r="A32" s="30"/>
      <c r="B32" s="27"/>
      <c r="C32" s="203"/>
      <c r="D32" s="23"/>
      <c r="E32" s="21"/>
      <c r="F32" s="13"/>
      <c r="G32" s="13"/>
      <c r="H32" s="21"/>
      <c r="I32" s="206"/>
      <c r="J32" s="209"/>
      <c r="L32"/>
      <c r="M32"/>
      <c r="N32"/>
    </row>
    <row r="33" spans="1:14" ht="30" customHeight="1" x14ac:dyDescent="0.25">
      <c r="A33" s="30"/>
      <c r="B33" s="27"/>
      <c r="C33" s="203"/>
      <c r="D33" s="23"/>
      <c r="E33" s="21"/>
      <c r="F33" s="13"/>
      <c r="G33" s="13"/>
      <c r="H33" s="21"/>
      <c r="I33" s="206"/>
      <c r="J33" s="209"/>
      <c r="L33"/>
      <c r="M33"/>
      <c r="N33"/>
    </row>
    <row r="34" spans="1:14" ht="30" customHeight="1" x14ac:dyDescent="0.25">
      <c r="A34" s="30"/>
      <c r="B34" s="27"/>
      <c r="C34" s="203"/>
      <c r="D34" s="23"/>
      <c r="E34" s="21"/>
      <c r="F34" s="13"/>
      <c r="G34" s="13"/>
      <c r="H34" s="21"/>
      <c r="I34" s="206"/>
      <c r="J34" s="209"/>
      <c r="L34"/>
      <c r="M34"/>
      <c r="N34"/>
    </row>
    <row r="35" spans="1:14" ht="30" customHeight="1" x14ac:dyDescent="0.25">
      <c r="A35" s="30"/>
      <c r="B35" s="27"/>
      <c r="C35" s="203"/>
      <c r="D35" s="23"/>
      <c r="E35" s="21"/>
      <c r="F35" s="13"/>
      <c r="G35" s="13"/>
      <c r="H35" s="21"/>
      <c r="I35" s="206"/>
      <c r="J35" s="209"/>
      <c r="L35"/>
      <c r="M35"/>
      <c r="N35"/>
    </row>
    <row r="36" spans="1:14" ht="30" customHeight="1" x14ac:dyDescent="0.25">
      <c r="A36" s="30"/>
      <c r="B36" s="27"/>
      <c r="C36" s="203"/>
      <c r="D36" s="23"/>
      <c r="E36" s="21"/>
      <c r="F36" s="13"/>
      <c r="G36" s="13"/>
      <c r="H36" s="21"/>
      <c r="I36" s="206"/>
      <c r="J36" s="209"/>
      <c r="L36"/>
      <c r="M36"/>
      <c r="N36"/>
    </row>
    <row r="37" spans="1:14" ht="30" customHeight="1" x14ac:dyDescent="0.25">
      <c r="A37" s="30"/>
      <c r="B37" s="27"/>
      <c r="C37" s="203"/>
      <c r="D37" s="23"/>
      <c r="E37" s="21"/>
      <c r="F37" s="13"/>
      <c r="G37" s="13"/>
      <c r="H37" s="21"/>
      <c r="I37" s="206"/>
      <c r="J37" s="209"/>
      <c r="L37"/>
      <c r="M37"/>
      <c r="N37"/>
    </row>
    <row r="38" spans="1:14" ht="30" customHeight="1" thickBot="1" x14ac:dyDescent="0.3">
      <c r="A38" s="138"/>
      <c r="B38" s="139"/>
      <c r="C38" s="204"/>
      <c r="D38" s="140"/>
      <c r="E38" s="141"/>
      <c r="F38" s="130"/>
      <c r="G38" s="130"/>
      <c r="H38" s="141"/>
      <c r="I38" s="207"/>
      <c r="J38" s="210"/>
      <c r="L38"/>
      <c r="M38"/>
      <c r="N38"/>
    </row>
    <row r="39" spans="1:14" ht="24.95" customHeight="1" x14ac:dyDescent="0.25">
      <c r="L39"/>
      <c r="M39"/>
      <c r="N39"/>
    </row>
    <row r="40" spans="1:14" ht="24.95" customHeight="1" x14ac:dyDescent="0.25">
      <c r="L40"/>
      <c r="M40"/>
      <c r="N40"/>
    </row>
    <row r="41" spans="1:14" ht="24.95" customHeight="1" x14ac:dyDescent="0.25"/>
    <row r="42" spans="1:14" ht="24.95" customHeight="1" x14ac:dyDescent="0.25"/>
    <row r="43" spans="1:14" ht="24.95" customHeight="1" x14ac:dyDescent="0.25"/>
    <row r="44" spans="1:14" ht="24.95" customHeight="1" x14ac:dyDescent="0.25"/>
    <row r="45" spans="1:14" ht="24.95" customHeight="1" x14ac:dyDescent="0.25"/>
    <row r="46" spans="1:14" ht="24.95" customHeight="1" x14ac:dyDescent="0.25"/>
    <row r="47" spans="1:14" ht="24.95" customHeight="1" x14ac:dyDescent="0.25"/>
    <row r="48" spans="1:14" ht="24.95" customHeight="1" x14ac:dyDescent="0.25"/>
    <row r="49" ht="24.95" customHeight="1" x14ac:dyDescent="0.25"/>
    <row r="50" ht="24.95" customHeight="1" x14ac:dyDescent="0.25"/>
    <row r="51" ht="24.95" customHeight="1" x14ac:dyDescent="0.25"/>
    <row r="52" ht="24.95" customHeight="1" x14ac:dyDescent="0.25"/>
    <row r="53" ht="24.95" customHeight="1" x14ac:dyDescent="0.25"/>
    <row r="54" ht="24.95" customHeight="1" x14ac:dyDescent="0.25"/>
    <row r="55" ht="24.95" customHeight="1" x14ac:dyDescent="0.25"/>
    <row r="56" ht="24.95" customHeight="1" x14ac:dyDescent="0.25"/>
    <row r="57" ht="24.95" customHeight="1" x14ac:dyDescent="0.25"/>
    <row r="58" ht="24.95" customHeight="1" x14ac:dyDescent="0.25"/>
    <row r="59" ht="24.95" customHeight="1" x14ac:dyDescent="0.25"/>
    <row r="60" ht="24.95" customHeight="1" x14ac:dyDescent="0.25"/>
    <row r="61" ht="24.95" customHeight="1" x14ac:dyDescent="0.25"/>
    <row r="62" ht="24.95" customHeight="1" x14ac:dyDescent="0.25"/>
    <row r="63" ht="24.95" customHeight="1" x14ac:dyDescent="0.25"/>
    <row r="64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</sheetData>
  <mergeCells count="33">
    <mergeCell ref="A14:A15"/>
    <mergeCell ref="B14:B15"/>
    <mergeCell ref="C14:C20"/>
    <mergeCell ref="D14:D15"/>
    <mergeCell ref="E14:E15"/>
    <mergeCell ref="I1:J1"/>
    <mergeCell ref="F2:F3"/>
    <mergeCell ref="G2:G3"/>
    <mergeCell ref="H1:H3"/>
    <mergeCell ref="C5:C7"/>
    <mergeCell ref="I5:I7"/>
    <mergeCell ref="J5:J7"/>
    <mergeCell ref="A1:A3"/>
    <mergeCell ref="C1:C3"/>
    <mergeCell ref="D1:D3"/>
    <mergeCell ref="E1:E3"/>
    <mergeCell ref="F1:G1"/>
    <mergeCell ref="J27:J38"/>
    <mergeCell ref="I2:I3"/>
    <mergeCell ref="J2:J3"/>
    <mergeCell ref="C8:C13"/>
    <mergeCell ref="I8:I13"/>
    <mergeCell ref="J8:J13"/>
    <mergeCell ref="F14:F15"/>
    <mergeCell ref="G14:G15"/>
    <mergeCell ref="H14:H15"/>
    <mergeCell ref="I14:I20"/>
    <mergeCell ref="J14:J20"/>
    <mergeCell ref="C21:C26"/>
    <mergeCell ref="I21:I26"/>
    <mergeCell ref="J21:J26"/>
    <mergeCell ref="C27:C38"/>
    <mergeCell ref="I27:I38"/>
  </mergeCells>
  <pageMargins left="0.49" right="0.33" top="0.2" bottom="0.2" header="0.2" footer="0.2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0FB1-9C95-4D98-9F5E-F62E27B96651}">
  <dimension ref="A1:H46"/>
  <sheetViews>
    <sheetView zoomScale="70" zoomScaleNormal="70" workbookViewId="0">
      <selection activeCell="D31" sqref="D31"/>
    </sheetView>
  </sheetViews>
  <sheetFormatPr defaultRowHeight="15.75" x14ac:dyDescent="0.25"/>
  <cols>
    <col min="1" max="1" width="12.140625" style="32" customWidth="1"/>
    <col min="2" max="2" width="55" style="32" customWidth="1"/>
    <col min="3" max="3" width="13.140625" style="32" bestFit="1" customWidth="1"/>
    <col min="4" max="8" width="11.7109375" style="32" customWidth="1"/>
    <col min="9" max="16384" width="9.140625" style="32"/>
  </cols>
  <sheetData>
    <row r="1" spans="1:8" s="58" customFormat="1" ht="30" customHeight="1" thickBot="1" x14ac:dyDescent="0.4">
      <c r="A1" s="56"/>
      <c r="B1" s="56" t="s">
        <v>57</v>
      </c>
      <c r="C1" s="174" t="s">
        <v>58</v>
      </c>
      <c r="D1" s="174"/>
      <c r="E1" s="174"/>
      <c r="F1" s="57" t="s">
        <v>59</v>
      </c>
      <c r="G1" s="57"/>
    </row>
    <row r="2" spans="1:8" ht="24" customHeight="1" x14ac:dyDescent="0.25">
      <c r="A2" s="252" t="s">
        <v>12</v>
      </c>
      <c r="B2" s="39" t="s">
        <v>13</v>
      </c>
      <c r="C2" s="246" t="s">
        <v>14</v>
      </c>
      <c r="D2" s="243" t="s">
        <v>42</v>
      </c>
      <c r="E2" s="243" t="s">
        <v>15</v>
      </c>
      <c r="F2" s="243" t="s">
        <v>17</v>
      </c>
      <c r="G2" s="246" t="s">
        <v>18</v>
      </c>
      <c r="H2" s="247"/>
    </row>
    <row r="3" spans="1:8" ht="24" customHeight="1" x14ac:dyDescent="0.25">
      <c r="A3" s="253"/>
      <c r="B3" s="33" t="s">
        <v>250</v>
      </c>
      <c r="C3" s="255"/>
      <c r="D3" s="244"/>
      <c r="E3" s="244"/>
      <c r="F3" s="244"/>
      <c r="G3" s="250" t="s">
        <v>21</v>
      </c>
      <c r="H3" s="248" t="s">
        <v>56</v>
      </c>
    </row>
    <row r="4" spans="1:8" ht="24" customHeight="1" thickBot="1" x14ac:dyDescent="0.3">
      <c r="A4" s="254"/>
      <c r="B4" s="40" t="s">
        <v>48</v>
      </c>
      <c r="C4" s="256"/>
      <c r="D4" s="245"/>
      <c r="E4" s="245"/>
      <c r="F4" s="245"/>
      <c r="G4" s="251"/>
      <c r="H4" s="249"/>
    </row>
    <row r="5" spans="1:8" ht="46.5" customHeight="1" x14ac:dyDescent="0.25">
      <c r="A5" s="41"/>
      <c r="B5" s="136" t="s">
        <v>265</v>
      </c>
      <c r="C5" s="257" t="s">
        <v>252</v>
      </c>
      <c r="D5" s="43"/>
      <c r="E5" s="50"/>
      <c r="F5" s="45"/>
      <c r="G5" s="260"/>
      <c r="H5" s="263"/>
    </row>
    <row r="6" spans="1:8" ht="24" customHeight="1" x14ac:dyDescent="0.25">
      <c r="A6" s="46"/>
      <c r="B6" s="36" t="s">
        <v>33</v>
      </c>
      <c r="C6" s="266"/>
      <c r="D6" s="34"/>
      <c r="E6" s="33"/>
      <c r="F6" s="35"/>
      <c r="G6" s="261"/>
      <c r="H6" s="264"/>
    </row>
    <row r="7" spans="1:8" ht="24" customHeight="1" x14ac:dyDescent="0.25">
      <c r="A7" s="46"/>
      <c r="B7" s="36" t="s">
        <v>253</v>
      </c>
      <c r="C7" s="266"/>
      <c r="D7" s="34"/>
      <c r="E7" s="33"/>
      <c r="F7" s="35"/>
      <c r="G7" s="261"/>
      <c r="H7" s="264"/>
    </row>
    <row r="8" spans="1:8" ht="24" customHeight="1" x14ac:dyDescent="0.25">
      <c r="A8" s="46"/>
      <c r="B8" s="36" t="s">
        <v>36</v>
      </c>
      <c r="C8" s="266"/>
      <c r="D8" s="34"/>
      <c r="E8" s="33"/>
      <c r="F8" s="35"/>
      <c r="G8" s="261"/>
      <c r="H8" s="264"/>
    </row>
    <row r="9" spans="1:8" ht="24" customHeight="1" x14ac:dyDescent="0.25">
      <c r="A9" s="46"/>
      <c r="B9" s="36" t="s">
        <v>37</v>
      </c>
      <c r="C9" s="266"/>
      <c r="D9" s="34"/>
      <c r="E9" s="33"/>
      <c r="F9" s="35"/>
      <c r="G9" s="261"/>
      <c r="H9" s="264"/>
    </row>
    <row r="10" spans="1:8" ht="24" customHeight="1" thickBot="1" x14ac:dyDescent="0.3">
      <c r="A10" s="47"/>
      <c r="B10" s="48" t="s">
        <v>254</v>
      </c>
      <c r="C10" s="259"/>
      <c r="D10" s="49"/>
      <c r="E10" s="40"/>
      <c r="F10" s="51"/>
      <c r="G10" s="262"/>
      <c r="H10" s="265"/>
    </row>
    <row r="11" spans="1:8" ht="45.75" customHeight="1" x14ac:dyDescent="0.25">
      <c r="A11" s="52"/>
      <c r="B11" s="136" t="s">
        <v>266</v>
      </c>
      <c r="C11" s="257" t="s">
        <v>251</v>
      </c>
      <c r="D11" s="43"/>
      <c r="E11" s="50"/>
      <c r="F11" s="50"/>
      <c r="G11" s="260"/>
      <c r="H11" s="263"/>
    </row>
    <row r="12" spans="1:8" ht="24" customHeight="1" x14ac:dyDescent="0.25">
      <c r="A12" s="46"/>
      <c r="B12" s="36" t="s">
        <v>35</v>
      </c>
      <c r="C12" s="258"/>
      <c r="D12" s="34"/>
      <c r="E12" s="33"/>
      <c r="F12" s="33"/>
      <c r="G12" s="261"/>
      <c r="H12" s="264"/>
    </row>
    <row r="13" spans="1:8" ht="24" customHeight="1" x14ac:dyDescent="0.25">
      <c r="A13" s="46"/>
      <c r="B13" s="36" t="s">
        <v>274</v>
      </c>
      <c r="C13" s="258"/>
      <c r="D13" s="34"/>
      <c r="E13" s="33"/>
      <c r="F13" s="33"/>
      <c r="G13" s="261"/>
      <c r="H13" s="264"/>
    </row>
    <row r="14" spans="1:8" ht="24" customHeight="1" x14ac:dyDescent="0.25">
      <c r="A14" s="46"/>
      <c r="B14" s="36" t="s">
        <v>33</v>
      </c>
      <c r="C14" s="258"/>
      <c r="D14" s="34"/>
      <c r="E14" s="33"/>
      <c r="F14" s="33"/>
      <c r="G14" s="261"/>
      <c r="H14" s="264"/>
    </row>
    <row r="15" spans="1:8" ht="24" customHeight="1" thickBot="1" x14ac:dyDescent="0.3">
      <c r="A15" s="47"/>
      <c r="B15" s="48" t="s">
        <v>275</v>
      </c>
      <c r="C15" s="259"/>
      <c r="D15" s="49"/>
      <c r="E15" s="40"/>
      <c r="F15" s="40"/>
      <c r="G15" s="262"/>
      <c r="H15" s="265"/>
    </row>
    <row r="16" spans="1:8" ht="24" customHeight="1" x14ac:dyDescent="0.25">
      <c r="A16" s="52"/>
      <c r="B16" s="42" t="s">
        <v>267</v>
      </c>
      <c r="C16" s="257" t="s">
        <v>251</v>
      </c>
      <c r="D16" s="43"/>
      <c r="E16" s="50"/>
      <c r="F16" s="50"/>
      <c r="G16" s="260"/>
      <c r="H16" s="263"/>
    </row>
    <row r="17" spans="1:8" ht="24" customHeight="1" x14ac:dyDescent="0.25">
      <c r="A17" s="53"/>
      <c r="B17" s="36" t="s">
        <v>276</v>
      </c>
      <c r="C17" s="266"/>
      <c r="D17" s="34"/>
      <c r="E17" s="33"/>
      <c r="F17" s="33"/>
      <c r="G17" s="261"/>
      <c r="H17" s="264"/>
    </row>
    <row r="18" spans="1:8" ht="24" customHeight="1" x14ac:dyDescent="0.25">
      <c r="A18" s="53"/>
      <c r="B18" s="36" t="s">
        <v>33</v>
      </c>
      <c r="C18" s="266"/>
      <c r="D18" s="34"/>
      <c r="E18" s="33"/>
      <c r="F18" s="33"/>
      <c r="G18" s="261"/>
      <c r="H18" s="264"/>
    </row>
    <row r="19" spans="1:8" ht="24" customHeight="1" x14ac:dyDescent="0.25">
      <c r="A19" s="46"/>
      <c r="B19" s="36" t="s">
        <v>37</v>
      </c>
      <c r="C19" s="258"/>
      <c r="D19" s="34"/>
      <c r="E19" s="33"/>
      <c r="F19" s="33"/>
      <c r="G19" s="261"/>
      <c r="H19" s="264"/>
    </row>
    <row r="20" spans="1:8" ht="24" customHeight="1" thickBot="1" x14ac:dyDescent="0.3">
      <c r="A20" s="47"/>
      <c r="B20" s="48" t="s">
        <v>34</v>
      </c>
      <c r="C20" s="259"/>
      <c r="D20" s="49"/>
      <c r="E20" s="40"/>
      <c r="F20" s="40"/>
      <c r="G20" s="262"/>
      <c r="H20" s="265"/>
    </row>
    <row r="21" spans="1:8" ht="24" customHeight="1" x14ac:dyDescent="0.25">
      <c r="A21" s="52"/>
      <c r="B21" s="136" t="s">
        <v>269</v>
      </c>
      <c r="C21" s="257" t="s">
        <v>251</v>
      </c>
      <c r="D21" s="43"/>
      <c r="E21" s="50"/>
      <c r="F21" s="50"/>
      <c r="G21" s="260"/>
      <c r="H21" s="263"/>
    </row>
    <row r="22" spans="1:8" ht="24" customHeight="1" x14ac:dyDescent="0.25">
      <c r="A22" s="53"/>
      <c r="B22" s="36" t="s">
        <v>36</v>
      </c>
      <c r="C22" s="266"/>
      <c r="D22" s="34"/>
      <c r="E22" s="33"/>
      <c r="F22" s="33"/>
      <c r="G22" s="261"/>
      <c r="H22" s="264"/>
    </row>
    <row r="23" spans="1:8" ht="24" customHeight="1" x14ac:dyDescent="0.25">
      <c r="A23" s="53"/>
      <c r="B23" s="36" t="s">
        <v>33</v>
      </c>
      <c r="C23" s="266"/>
      <c r="D23" s="34"/>
      <c r="E23" s="33"/>
      <c r="F23" s="33"/>
      <c r="G23" s="261"/>
      <c r="H23" s="264"/>
    </row>
    <row r="24" spans="1:8" ht="24" customHeight="1" x14ac:dyDescent="0.25">
      <c r="A24" s="53"/>
      <c r="B24" s="36" t="s">
        <v>37</v>
      </c>
      <c r="C24" s="266"/>
      <c r="D24" s="34"/>
      <c r="E24" s="33"/>
      <c r="F24" s="33"/>
      <c r="G24" s="261"/>
      <c r="H24" s="264"/>
    </row>
    <row r="25" spans="1:8" ht="24" customHeight="1" x14ac:dyDescent="0.25">
      <c r="A25" s="53"/>
      <c r="B25" s="36" t="s">
        <v>38</v>
      </c>
      <c r="C25" s="266"/>
      <c r="D25" s="34"/>
      <c r="E25" s="33"/>
      <c r="F25" s="33"/>
      <c r="G25" s="261"/>
      <c r="H25" s="264"/>
    </row>
    <row r="26" spans="1:8" ht="24" customHeight="1" x14ac:dyDescent="0.25">
      <c r="A26" s="53"/>
      <c r="B26" s="36" t="s">
        <v>39</v>
      </c>
      <c r="C26" s="266"/>
      <c r="D26" s="34"/>
      <c r="E26" s="33"/>
      <c r="F26" s="33"/>
      <c r="G26" s="261"/>
      <c r="H26" s="264"/>
    </row>
    <row r="27" spans="1:8" ht="24" customHeight="1" x14ac:dyDescent="0.25">
      <c r="A27" s="53"/>
      <c r="B27" s="36" t="s">
        <v>40</v>
      </c>
      <c r="C27" s="266"/>
      <c r="D27" s="34"/>
      <c r="E27" s="33"/>
      <c r="F27" s="33"/>
      <c r="G27" s="261"/>
      <c r="H27" s="264"/>
    </row>
    <row r="28" spans="1:8" ht="24" customHeight="1" x14ac:dyDescent="0.25">
      <c r="A28" s="46"/>
      <c r="B28" s="36" t="s">
        <v>41</v>
      </c>
      <c r="C28" s="258"/>
      <c r="D28" s="34"/>
      <c r="E28" s="33"/>
      <c r="F28" s="33"/>
      <c r="G28" s="261"/>
      <c r="H28" s="264"/>
    </row>
    <row r="29" spans="1:8" ht="24" customHeight="1" x14ac:dyDescent="0.25">
      <c r="A29" s="46"/>
      <c r="B29" s="36" t="s">
        <v>54</v>
      </c>
      <c r="C29" s="258"/>
      <c r="D29" s="34"/>
      <c r="E29" s="33"/>
      <c r="F29" s="33"/>
      <c r="G29" s="261"/>
      <c r="H29" s="264"/>
    </row>
    <row r="30" spans="1:8" ht="24" customHeight="1" thickBot="1" x14ac:dyDescent="0.3">
      <c r="A30" s="47"/>
      <c r="B30" s="48" t="s">
        <v>55</v>
      </c>
      <c r="C30" s="259"/>
      <c r="D30" s="49"/>
      <c r="E30" s="40"/>
      <c r="F30" s="40"/>
      <c r="G30" s="262"/>
      <c r="H30" s="265"/>
    </row>
    <row r="31" spans="1:8" ht="24" customHeight="1" x14ac:dyDescent="0.25">
      <c r="A31" s="41"/>
      <c r="B31" s="42" t="s">
        <v>270</v>
      </c>
      <c r="C31" s="257" t="s">
        <v>251</v>
      </c>
      <c r="D31" s="43"/>
      <c r="E31" s="44"/>
      <c r="F31" s="45"/>
      <c r="G31" s="269"/>
      <c r="H31" s="263"/>
    </row>
    <row r="32" spans="1:8" ht="24" customHeight="1" x14ac:dyDescent="0.25">
      <c r="A32" s="132"/>
      <c r="B32" s="36" t="s">
        <v>253</v>
      </c>
      <c r="C32" s="267"/>
      <c r="D32" s="133"/>
      <c r="E32" s="134"/>
      <c r="F32" s="135"/>
      <c r="G32" s="270"/>
      <c r="H32" s="264"/>
    </row>
    <row r="33" spans="1:8" ht="24" customHeight="1" x14ac:dyDescent="0.25">
      <c r="A33" s="132"/>
      <c r="B33" s="36" t="s">
        <v>32</v>
      </c>
      <c r="C33" s="267"/>
      <c r="D33" s="133"/>
      <c r="E33" s="134"/>
      <c r="F33" s="135"/>
      <c r="G33" s="270"/>
      <c r="H33" s="264"/>
    </row>
    <row r="34" spans="1:8" ht="24" customHeight="1" x14ac:dyDescent="0.25">
      <c r="A34" s="132"/>
      <c r="B34" s="36" t="s">
        <v>36</v>
      </c>
      <c r="C34" s="267"/>
      <c r="D34" s="133"/>
      <c r="E34" s="134"/>
      <c r="F34" s="135"/>
      <c r="G34" s="270"/>
      <c r="H34" s="264"/>
    </row>
    <row r="35" spans="1:8" ht="24" customHeight="1" x14ac:dyDescent="0.25">
      <c r="A35" s="132"/>
      <c r="B35" s="36" t="s">
        <v>33</v>
      </c>
      <c r="C35" s="267"/>
      <c r="D35" s="133"/>
      <c r="E35" s="134"/>
      <c r="F35" s="135"/>
      <c r="G35" s="270"/>
      <c r="H35" s="264"/>
    </row>
    <row r="36" spans="1:8" ht="24" customHeight="1" thickBot="1" x14ac:dyDescent="0.3">
      <c r="A36" s="160"/>
      <c r="B36" s="48" t="s">
        <v>39</v>
      </c>
      <c r="C36" s="268"/>
      <c r="D36" s="49"/>
      <c r="E36" s="40"/>
      <c r="F36" s="40"/>
      <c r="G36" s="271"/>
      <c r="H36" s="265"/>
    </row>
    <row r="37" spans="1:8" ht="24" customHeight="1" x14ac:dyDescent="0.25">
      <c r="A37" s="41"/>
      <c r="B37" s="42" t="s">
        <v>268</v>
      </c>
      <c r="C37" s="257" t="s">
        <v>255</v>
      </c>
      <c r="D37" s="43"/>
      <c r="E37" s="50"/>
      <c r="F37" s="45"/>
      <c r="G37" s="260"/>
      <c r="H37" s="263"/>
    </row>
    <row r="38" spans="1:8" ht="24" customHeight="1" x14ac:dyDescent="0.25">
      <c r="A38" s="46"/>
      <c r="B38" s="36" t="s">
        <v>33</v>
      </c>
      <c r="C38" s="258"/>
      <c r="D38" s="34"/>
      <c r="E38" s="33"/>
      <c r="F38" s="35"/>
      <c r="G38" s="261"/>
      <c r="H38" s="264"/>
    </row>
    <row r="39" spans="1:8" ht="24" customHeight="1" thickBot="1" x14ac:dyDescent="0.3">
      <c r="A39" s="47"/>
      <c r="B39" s="48" t="s">
        <v>36</v>
      </c>
      <c r="C39" s="259"/>
      <c r="D39" s="49"/>
      <c r="E39" s="40"/>
      <c r="F39" s="51"/>
      <c r="G39" s="262"/>
      <c r="H39" s="265"/>
    </row>
    <row r="40" spans="1:8" ht="24" customHeight="1" x14ac:dyDescent="0.25">
      <c r="A40" s="161"/>
      <c r="B40" s="133" t="s">
        <v>43</v>
      </c>
      <c r="C40" s="272"/>
      <c r="D40" s="272"/>
      <c r="E40" s="272"/>
      <c r="F40" s="272"/>
      <c r="G40" s="272"/>
      <c r="H40" s="273"/>
    </row>
    <row r="41" spans="1:8" ht="24" customHeight="1" x14ac:dyDescent="0.25">
      <c r="A41" s="54"/>
      <c r="B41" s="34" t="s">
        <v>44</v>
      </c>
      <c r="C41" s="274"/>
      <c r="D41" s="274"/>
      <c r="E41" s="274"/>
      <c r="F41" s="274"/>
      <c r="G41" s="274"/>
      <c r="H41" s="275"/>
    </row>
    <row r="42" spans="1:8" ht="24" customHeight="1" thickBot="1" x14ac:dyDescent="0.3">
      <c r="A42" s="55"/>
      <c r="B42" s="49" t="s">
        <v>45</v>
      </c>
      <c r="C42" s="276"/>
      <c r="D42" s="276"/>
      <c r="E42" s="276"/>
      <c r="F42" s="276"/>
      <c r="G42" s="276"/>
      <c r="H42" s="277"/>
    </row>
    <row r="43" spans="1:8" ht="20.100000000000001" customHeight="1" x14ac:dyDescent="0.25">
      <c r="B43" s="37" t="s">
        <v>46</v>
      </c>
    </row>
    <row r="44" spans="1:8" ht="20.100000000000001" customHeight="1" x14ac:dyDescent="0.25">
      <c r="B44" s="278" t="s">
        <v>47</v>
      </c>
      <c r="C44" s="278"/>
      <c r="D44" s="278"/>
      <c r="E44" s="278"/>
      <c r="F44" s="278"/>
      <c r="G44" s="278"/>
    </row>
    <row r="45" spans="1:8" ht="20.100000000000001" customHeight="1" x14ac:dyDescent="0.25">
      <c r="B45" s="278" t="s">
        <v>47</v>
      </c>
      <c r="C45" s="278"/>
      <c r="D45" s="278"/>
      <c r="E45" s="278"/>
      <c r="F45" s="278"/>
      <c r="G45" s="278"/>
      <c r="H45" s="38"/>
    </row>
    <row r="46" spans="1:8" ht="20.100000000000001" customHeight="1" x14ac:dyDescent="0.25">
      <c r="F46" s="11" t="s">
        <v>60</v>
      </c>
    </row>
  </sheetData>
  <mergeCells count="32">
    <mergeCell ref="C40:H40"/>
    <mergeCell ref="C41:H41"/>
    <mergeCell ref="C42:H42"/>
    <mergeCell ref="B44:G44"/>
    <mergeCell ref="B45:G45"/>
    <mergeCell ref="C37:C39"/>
    <mergeCell ref="G37:G39"/>
    <mergeCell ref="H37:H39"/>
    <mergeCell ref="C21:C30"/>
    <mergeCell ref="G21:G30"/>
    <mergeCell ref="G5:G10"/>
    <mergeCell ref="H5:H10"/>
    <mergeCell ref="H21:H30"/>
    <mergeCell ref="C31:C36"/>
    <mergeCell ref="G31:G36"/>
    <mergeCell ref="H31:H36"/>
    <mergeCell ref="G11:G15"/>
    <mergeCell ref="H11:H15"/>
    <mergeCell ref="C16:C20"/>
    <mergeCell ref="G16:G20"/>
    <mergeCell ref="H16:H20"/>
    <mergeCell ref="A2:A4"/>
    <mergeCell ref="C2:C4"/>
    <mergeCell ref="D2:D4"/>
    <mergeCell ref="E2:E4"/>
    <mergeCell ref="C11:C15"/>
    <mergeCell ref="C5:C10"/>
    <mergeCell ref="F2:F4"/>
    <mergeCell ref="G2:H2"/>
    <mergeCell ref="H3:H4"/>
    <mergeCell ref="G3:G4"/>
    <mergeCell ref="C1:E1"/>
  </mergeCells>
  <pageMargins left="0.49" right="0.17" top="0.17" bottom="0.19" header="0.3" footer="0.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danh sách 1</vt:lpstr>
      <vt:lpstr>DANH SÁCH</vt:lpstr>
      <vt:lpstr>BÌA</vt:lpstr>
      <vt:lpstr>SỔ THEO DÕI</vt:lpstr>
      <vt:lpstr>MẪU HÌNH</vt:lpstr>
      <vt:lpstr>Sheet1</vt:lpstr>
      <vt:lpstr>IN SA HÌNH</vt:lpstr>
      <vt:lpstr>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Nghia Nguyen</cp:lastModifiedBy>
  <cp:lastPrinted>2025-08-22T04:41:04Z</cp:lastPrinted>
  <dcterms:created xsi:type="dcterms:W3CDTF">2023-06-15T01:31:49Z</dcterms:created>
  <dcterms:modified xsi:type="dcterms:W3CDTF">2025-09-24T08:57:09Z</dcterms:modified>
</cp:coreProperties>
</file>