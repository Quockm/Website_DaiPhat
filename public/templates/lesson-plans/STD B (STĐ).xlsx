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8C64FC13-ED0F-4104-8C2A-4FFB091D576F}" xr6:coauthVersionLast="47" xr6:coauthVersionMax="47" xr10:uidLastSave="{00000000-0000-0000-0000-000000000000}"/>
  <bookViews>
    <workbookView xWindow="-120" yWindow="-120" windowWidth="20730" windowHeight="11160" firstSheet="1" activeTab="7" xr2:uid="{979A2F57-653A-4BDD-93B1-8AB1790AB86A}"/>
  </bookViews>
  <sheets>
    <sheet name="DANH SÁCH 1" sheetId="23" r:id="rId1"/>
    <sheet name="DANH SÁCH" sheetId="16" r:id="rId2"/>
    <sheet name="BÌA" sheetId="17" r:id="rId3"/>
    <sheet name="SỔ THEO DÕI" sheetId="1" r:id="rId4"/>
    <sheet name="SH" sheetId="18" r:id="rId5"/>
    <sheet name="IN SH" sheetId="19" r:id="rId6"/>
    <sheet name="LỊCH CABIN" sheetId="21" r:id="rId7"/>
    <sheet name="DAT" sheetId="11" r:id="rId8"/>
  </sheets>
  <definedNames>
    <definedName name="_xlnm._FilterDatabase" localSheetId="0" hidden="1">'DANH SÁCH 1'!$A$1:$F$16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9" l="1"/>
  <c r="H11" i="19"/>
  <c r="E11" i="19"/>
  <c r="H6" i="19"/>
  <c r="E6" i="19"/>
  <c r="H5" i="19"/>
  <c r="E30" i="18"/>
  <c r="E24" i="18"/>
  <c r="E25" i="18"/>
  <c r="E26" i="18"/>
  <c r="E27" i="18"/>
  <c r="E28" i="18"/>
  <c r="E29" i="18"/>
  <c r="E23" i="18"/>
  <c r="H30" i="18"/>
  <c r="H25" i="18"/>
  <c r="H26" i="18"/>
  <c r="H27" i="18"/>
  <c r="H28" i="18"/>
  <c r="H29" i="18"/>
  <c r="H24" i="18"/>
  <c r="H23" i="18"/>
  <c r="H22" i="18"/>
  <c r="E7" i="18"/>
  <c r="E6" i="18"/>
  <c r="N27" i="11"/>
  <c r="H8" i="18" l="1"/>
  <c r="H9" i="18"/>
  <c r="H10" i="18"/>
  <c r="H7" i="18"/>
  <c r="H14" i="18"/>
  <c r="H15" i="18"/>
  <c r="H16" i="18"/>
  <c r="H13" i="18"/>
  <c r="A13" i="18"/>
  <c r="L16" i="18" l="1"/>
  <c r="L14" i="18"/>
  <c r="L15" i="18" s="1"/>
  <c r="E8" i="18"/>
  <c r="E9" i="18" s="1"/>
  <c r="E10" i="18" s="1"/>
  <c r="E11" i="18"/>
  <c r="H6" i="18"/>
  <c r="H5" i="18"/>
  <c r="H11" i="18"/>
  <c r="E14" i="18"/>
  <c r="E15" i="18"/>
  <c r="E16" i="18"/>
  <c r="E13" i="18"/>
  <c r="A5" i="18" l="1"/>
  <c r="A7" i="18" s="1"/>
  <c r="A8" i="18" l="1"/>
  <c r="A9" i="18" s="1"/>
  <c r="A10" i="18" s="1"/>
  <c r="A14" i="18" l="1"/>
  <c r="A15" i="18" s="1"/>
  <c r="A16" i="18" s="1"/>
  <c r="B223" i="1"/>
  <c r="B220" i="1"/>
  <c r="C220" i="1"/>
  <c r="D220" i="1"/>
  <c r="B221" i="1"/>
  <c r="C221" i="1"/>
  <c r="D221" i="1"/>
  <c r="B222" i="1"/>
  <c r="C222" i="1"/>
  <c r="D222" i="1"/>
  <c r="C223" i="1"/>
  <c r="D223" i="1"/>
  <c r="D219" i="1"/>
  <c r="C219" i="1"/>
  <c r="B219" i="1"/>
  <c r="B212" i="1"/>
  <c r="B209" i="1"/>
  <c r="C209" i="1"/>
  <c r="D209" i="1"/>
  <c r="B210" i="1"/>
  <c r="C210" i="1"/>
  <c r="D210" i="1"/>
  <c r="B211" i="1"/>
  <c r="C211" i="1"/>
  <c r="D211" i="1"/>
  <c r="C212" i="1"/>
  <c r="D212" i="1"/>
  <c r="D208" i="1"/>
  <c r="C208" i="1"/>
  <c r="B208" i="1"/>
  <c r="B200" i="1"/>
  <c r="B197" i="1"/>
  <c r="C197" i="1"/>
  <c r="D197" i="1"/>
  <c r="B198" i="1"/>
  <c r="C198" i="1"/>
  <c r="D198" i="1"/>
  <c r="B199" i="1"/>
  <c r="C199" i="1"/>
  <c r="D199" i="1"/>
  <c r="C200" i="1"/>
  <c r="D200" i="1"/>
  <c r="D196" i="1"/>
  <c r="C196" i="1"/>
  <c r="B196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D185" i="1"/>
  <c r="C185" i="1"/>
  <c r="B185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D173" i="1"/>
  <c r="C173" i="1"/>
  <c r="B173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D162" i="1"/>
  <c r="C162" i="1"/>
  <c r="B162" i="1"/>
  <c r="D150" i="1"/>
  <c r="C150" i="1"/>
  <c r="B150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D139" i="1"/>
  <c r="C139" i="1"/>
  <c r="B139" i="1"/>
  <c r="B55" i="1"/>
  <c r="B43" i="1"/>
  <c r="B31" i="1"/>
  <c r="B19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A23" i="18" l="1"/>
  <c r="A24" i="18" s="1"/>
  <c r="A25" i="18" s="1"/>
  <c r="A26" i="18" s="1"/>
  <c r="A27" i="18" s="1"/>
  <c r="A28" i="18" s="1"/>
  <c r="A29" i="18" s="1"/>
  <c r="A30" i="18" s="1"/>
  <c r="A18" i="18"/>
  <c r="A19" i="18" s="1"/>
  <c r="A20" i="18" s="1"/>
  <c r="A21" i="18" s="1"/>
  <c r="B128" i="1"/>
  <c r="C128" i="1"/>
  <c r="D128" i="1"/>
  <c r="B129" i="1"/>
  <c r="C129" i="1"/>
  <c r="D129" i="1"/>
  <c r="B130" i="1"/>
  <c r="C130" i="1"/>
  <c r="D130" i="1"/>
  <c r="B131" i="1"/>
  <c r="C131" i="1"/>
  <c r="D131" i="1"/>
  <c r="D127" i="1"/>
  <c r="C127" i="1"/>
  <c r="B127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D115" i="1"/>
  <c r="C115" i="1"/>
  <c r="B115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D103" i="1"/>
  <c r="C103" i="1"/>
  <c r="B103" i="1"/>
  <c r="B92" i="1" l="1"/>
  <c r="C92" i="1"/>
  <c r="D92" i="1"/>
  <c r="B93" i="1"/>
  <c r="C93" i="1"/>
  <c r="D93" i="1"/>
  <c r="B94" i="1"/>
  <c r="C94" i="1"/>
  <c r="D94" i="1"/>
  <c r="B95" i="1"/>
  <c r="C95" i="1"/>
  <c r="D95" i="1"/>
  <c r="D91" i="1"/>
  <c r="C91" i="1"/>
  <c r="B91" i="1"/>
  <c r="B68" i="1"/>
  <c r="C68" i="1"/>
  <c r="D68" i="1"/>
  <c r="B69" i="1"/>
  <c r="C69" i="1"/>
  <c r="D69" i="1"/>
  <c r="B70" i="1"/>
  <c r="C70" i="1"/>
  <c r="D70" i="1"/>
  <c r="B71" i="1"/>
  <c r="C71" i="1"/>
  <c r="D71" i="1"/>
  <c r="B80" i="1"/>
  <c r="C80" i="1"/>
  <c r="D80" i="1"/>
  <c r="B81" i="1"/>
  <c r="C81" i="1"/>
  <c r="D81" i="1"/>
  <c r="B82" i="1"/>
  <c r="C82" i="1"/>
  <c r="D82" i="1"/>
  <c r="B83" i="1"/>
  <c r="C83" i="1"/>
  <c r="D83" i="1"/>
  <c r="D79" i="1"/>
  <c r="C79" i="1"/>
  <c r="B79" i="1"/>
  <c r="D67" i="1"/>
  <c r="C67" i="1"/>
  <c r="B67" i="1"/>
  <c r="B56" i="1"/>
  <c r="C56" i="1"/>
  <c r="D56" i="1"/>
  <c r="B57" i="1"/>
  <c r="C57" i="1"/>
  <c r="D57" i="1"/>
  <c r="B58" i="1"/>
  <c r="C58" i="1"/>
  <c r="D58" i="1"/>
  <c r="B59" i="1"/>
  <c r="C59" i="1"/>
  <c r="D59" i="1"/>
  <c r="D55" i="1"/>
  <c r="C55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32" i="1"/>
  <c r="C32" i="1"/>
  <c r="D32" i="1"/>
  <c r="B33" i="1"/>
  <c r="C33" i="1"/>
  <c r="D33" i="1"/>
  <c r="B34" i="1"/>
  <c r="C34" i="1"/>
  <c r="D34" i="1"/>
  <c r="B35" i="1"/>
  <c r="C35" i="1"/>
  <c r="D35" i="1"/>
  <c r="D31" i="1"/>
  <c r="C31" i="1"/>
  <c r="B20" i="1"/>
  <c r="C20" i="1"/>
  <c r="D20" i="1"/>
  <c r="B21" i="1"/>
  <c r="C21" i="1"/>
  <c r="D21" i="1"/>
  <c r="B22" i="1"/>
  <c r="C22" i="1"/>
  <c r="D22" i="1"/>
  <c r="B23" i="1"/>
  <c r="C23" i="1"/>
  <c r="D23" i="1"/>
  <c r="D19" i="1"/>
  <c r="C19" i="1"/>
  <c r="B8" i="1"/>
  <c r="C8" i="1"/>
  <c r="D8" i="1"/>
  <c r="B9" i="1"/>
  <c r="C9" i="1"/>
  <c r="D9" i="1"/>
  <c r="B10" i="1"/>
  <c r="C10" i="1"/>
  <c r="D10" i="1"/>
  <c r="B11" i="1"/>
  <c r="C11" i="1"/>
  <c r="D11" i="1"/>
  <c r="D7" i="1"/>
  <c r="C7" i="1"/>
  <c r="B7" i="1"/>
</calcChain>
</file>

<file path=xl/sharedStrings.xml><?xml version="1.0" encoding="utf-8"?>
<sst xmlns="http://schemas.openxmlformats.org/spreadsheetml/2006/main" count="1144" uniqueCount="373">
  <si>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</si>
  <si>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</si>
  <si>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</si>
  <si>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</si>
  <si>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</si>
  <si>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</si>
  <si>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</si>
  <si>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</si>
  <si>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</si>
  <si>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</si>
  <si>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</si>
  <si>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</si>
  <si>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</si>
  <si>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</si>
  <si>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</si>
  <si>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</si>
  <si>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</si>
  <si>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</si>
  <si>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</si>
  <si>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</si>
  <si>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</si>
  <si>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</si>
  <si>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 xml:space="preserve">Trưởng </t>
  </si>
  <si>
    <t>Ban nghề</t>
  </si>
  <si>
    <t>Sân tập lái</t>
  </si>
  <si>
    <t xml:space="preserve"> - Tập lái đúng phần đường quy định.</t>
  </si>
  <si>
    <t xml:space="preserve"> - Căn xe trên đường</t>
  </si>
  <si>
    <t xml:space="preserve">tiến, lùi hình chữ chi </t>
  </si>
  <si>
    <t xml:space="preserve"> - Tập lái trong hình số 3,8 ghép và hình chữ chi</t>
  </si>
  <si>
    <t xml:space="preserve"> - Tập lái xe trong sa hình, ghép dọc, ghép ngang</t>
  </si>
  <si>
    <t xml:space="preserve"> - Tập lái theo đúng phần đường quy định</t>
  </si>
  <si>
    <t xml:space="preserve"> - Xử lý tình huống giao thông đơn giản</t>
  </si>
  <si>
    <t xml:space="preserve"> - Lái xe trong hình các bài thi sát hạch GV hướng dẫn</t>
  </si>
  <si>
    <t xml:space="preserve"> - Học viên độc lập lái xe trên sa hình</t>
  </si>
  <si>
    <t xml:space="preserve">                                       Hạng xe:</t>
  </si>
  <si>
    <t>…............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</si>
  <si>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</si>
  <si>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</si>
  <si>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</si>
  <si>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</si>
  <si>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</si>
  <si>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Phải sử dụng đèn pha, cốt hợp lý</t>
  </si>
  <si>
    <t xml:space="preserve"> - Đảm bảo an toàn khi rẽ trái hoặc phải</t>
  </si>
  <si>
    <t xml:space="preserve"> - Ước lượng khoảng cách khi xe đi ngược chiều</t>
  </si>
  <si>
    <t xml:space="preserve"> - Đi đúng phần đường</t>
  </si>
  <si>
    <t xml:space="preserve">Số Giờ Thực
Hành </t>
  </si>
  <si>
    <t>Ôn thi tốt nghiệp</t>
  </si>
  <si>
    <t>Thi tốt nghiệp</t>
  </si>
  <si>
    <t>Ôn thi sát hạch</t>
  </si>
  <si>
    <t>Thi sát hạch</t>
  </si>
  <si>
    <t xml:space="preserve"> - Nhận xét của Giáo Viên : 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</si>
  <si>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</si>
  <si>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</si>
  <si>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t>…..........................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</si>
  <si>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tại chỗ không nổ máy.</t>
    </r>
  </si>
  <si>
    <r>
      <rPr>
        <b/>
        <u/>
        <sz val="11"/>
        <color indexed="8"/>
        <rFont val="Times New Roman"/>
        <family val="1"/>
      </rPr>
      <t>Bài 3</t>
    </r>
    <r>
      <rPr>
        <b/>
        <sz val="11"/>
        <color indexed="8"/>
        <rFont val="Times New Roman"/>
        <family val="1"/>
      </rPr>
      <t>:Tập lái trong bãi phẳng .</t>
    </r>
  </si>
  <si>
    <t xml:space="preserve"> - Tiến và lùi trong hình chữ chi</t>
  </si>
  <si>
    <t xml:space="preserve"> - Thay đổi số trên đường thẳng</t>
  </si>
  <si>
    <t xml:space="preserve"> - Tập lái xe trong hinh số 8 và số 3</t>
  </si>
  <si>
    <t xml:space="preserve"> - Phải lau chùi kính xe và chiếu hậu khi kiếng bị mờ</t>
  </si>
  <si>
    <t xml:space="preserve"> - Tập đỗ xe và khởi hành 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</si>
  <si>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</si>
  <si>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</si>
  <si>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</si>
  <si>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</si>
  <si>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</si>
  <si>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</si>
  <si>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</si>
  <si>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</si>
  <si>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GV</t>
  </si>
  <si>
    <t>SỐ XE</t>
  </si>
  <si>
    <t>Xe KH</t>
  </si>
  <si>
    <t>GVKH</t>
  </si>
  <si>
    <t>HẠNG</t>
  </si>
  <si>
    <t>TÊN KHÓA</t>
  </si>
  <si>
    <t>SỞ LAO ĐỘNG THƯƠNG BINH XÃ HỘI TP.HCM</t>
  </si>
  <si>
    <t>TRUNG TÂM GIÁO DỤC NGHỀ NGHIỆP TIẾN THÀNH</t>
  </si>
  <si>
    <t>SỔ THEO DÕI
THỰC HÀNH LÁI XE</t>
  </si>
  <si>
    <t>Họ và tên giáo viên:</t>
  </si>
  <si>
    <t>Mã khóa:</t>
  </si>
  <si>
    <t>Tên khóa:</t>
  </si>
  <si>
    <t xml:space="preserve"> Hạng: </t>
  </si>
  <si>
    <r>
      <rPr>
        <b/>
        <u/>
        <sz val="11"/>
        <color indexed="8"/>
        <rFont val="Times New Roman"/>
        <family val="1"/>
      </rPr>
      <t>Bài 4</t>
    </r>
    <r>
      <rPr>
        <b/>
        <sz val="11"/>
        <color indexed="8"/>
        <rFont val="Times New Roman"/>
        <family val="1"/>
      </rPr>
      <t xml:space="preserve">: Tập lái trong hình số 3 và số 8 ghép, </t>
    </r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</si>
  <si>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tại chỗ có nổ máy.</t>
    </r>
  </si>
  <si>
    <t xml:space="preserve"> - Dừng và đỗ xe đúng nơi quy định.</t>
  </si>
  <si>
    <t>B11</t>
  </si>
  <si>
    <t xml:space="preserve"> - Lái xe qua những khúc cua che khất tầm nhìn</t>
  </si>
  <si>
    <t xml:space="preserve"> - Tập lái qua khu vực đông xe qua lại</t>
  </si>
  <si>
    <t xml:space="preserve"> - Tập lái xe qua khu vực đông dân cư</t>
  </si>
  <si>
    <t>…..................................................................</t>
  </si>
  <si>
    <t>Biển số xe tập lái số:</t>
  </si>
  <si>
    <t>….........................................</t>
  </si>
  <si>
    <t>…..........</t>
  </si>
  <si>
    <t>….......</t>
  </si>
  <si>
    <t>…..............</t>
  </si>
  <si>
    <t xml:space="preserve">                                       Mã Khóa:</t>
  </si>
  <si>
    <t>…................................................</t>
  </si>
  <si>
    <t>Chủ xe</t>
  </si>
  <si>
    <t>Ngày</t>
  </si>
  <si>
    <t>Giờ Tập</t>
  </si>
  <si>
    <t>Cabin</t>
  </si>
  <si>
    <t>13h40-16h40</t>
  </si>
  <si>
    <t>17h00-20h00</t>
  </si>
  <si>
    <t>Gv</t>
  </si>
  <si>
    <t>GV DAT</t>
  </si>
  <si>
    <t>Ghi chú</t>
  </si>
  <si>
    <t>Năm 202…</t>
  </si>
  <si>
    <t>Số CMND/HC</t>
  </si>
  <si>
    <t>Địa chỉ thường trú</t>
  </si>
  <si>
    <t>Hạn giấy phép xe tập lái</t>
  </si>
  <si>
    <t>07h00 - 10h00</t>
  </si>
  <si>
    <t>10h20-13h20</t>
  </si>
  <si>
    <t>Khóa</t>
  </si>
  <si>
    <t>DANH</t>
  </si>
  <si>
    <t>NAM RÂU</t>
  </si>
  <si>
    <t>VIỆT NHỎ</t>
  </si>
  <si>
    <t>DỰ</t>
  </si>
  <si>
    <t>LUẬT</t>
  </si>
  <si>
    <t>THỨC</t>
  </si>
  <si>
    <t>TUẤN ANH</t>
  </si>
  <si>
    <t>47A-72717</t>
  </si>
  <si>
    <t>51K-21807</t>
  </si>
  <si>
    <t>51K-85525</t>
  </si>
  <si>
    <t>62A-10055</t>
  </si>
  <si>
    <t>61A-78409</t>
  </si>
  <si>
    <t>51A-92569</t>
  </si>
  <si>
    <t>61A-776.34</t>
  </si>
  <si>
    <t>51G-10327</t>
  </si>
  <si>
    <t>51G-80494</t>
  </si>
  <si>
    <t>25/07/26</t>
  </si>
  <si>
    <t>NGUYỄN CÔNG BẰNG</t>
  </si>
  <si>
    <t>NGUYỄN THỊ KIM DUNG</t>
  </si>
  <si>
    <t>TRẦN TRÍ HƯỚNG</t>
  </si>
  <si>
    <t>NGUYỄN VĂN MINH</t>
  </si>
  <si>
    <t>LÊ THÀNH NAM</t>
  </si>
  <si>
    <t>LÊ THỊ NGẦN</t>
  </si>
  <si>
    <t>NGUYỄN HẢI SƠN</t>
  </si>
  <si>
    <t>LÊ VĂN TẪN</t>
  </si>
  <si>
    <t>PHẠM MINH TUẤN</t>
  </si>
  <si>
    <t>LỊCH CABIN HẠNG B11-K28-K29</t>
  </si>
  <si>
    <t>HÀ BẢO QUỲNH ANH</t>
  </si>
  <si>
    <t>10/02/1996</t>
  </si>
  <si>
    <t>070196006321</t>
  </si>
  <si>
    <t>Khu Phố Phú Tân P. Tân Phú, TX. Đồng Xoài, T. Bình Phước</t>
  </si>
  <si>
    <t>TRẦN NGUYỄN TRÂM ANH</t>
  </si>
  <si>
    <t>27/11/1988</t>
  </si>
  <si>
    <t>052188000709</t>
  </si>
  <si>
    <t>68/45 Trần Quang Khải P. Tân Định, Q.1, TP. Hồ Chí Minh</t>
  </si>
  <si>
    <t>A MI NA- BINROJAK</t>
  </si>
  <si>
    <t>28/12/2004</t>
  </si>
  <si>
    <t>079304025386</t>
  </si>
  <si>
    <t>231D/5 Dương Bá Trạc P.01, Q.8, TP. Hồ Chí Minh</t>
  </si>
  <si>
    <t>NGÔ VĂN CẦN</t>
  </si>
  <si>
    <t>11/09/1997</t>
  </si>
  <si>
    <t>036097003979</t>
  </si>
  <si>
    <t>Xóm 13 X. Yên Nhân, H. ý Yên, T. Nam Định</t>
  </si>
  <si>
    <t>NGUYỄN CAO CƯỜNG</t>
  </si>
  <si>
    <t>08/12/1991</t>
  </si>
  <si>
    <t>038091025250</t>
  </si>
  <si>
    <t>Thôn Mùi X. Bích Hòa, H. Thanh Oai, TP. Hà Nội</t>
  </si>
  <si>
    <t>NGUYỄN THỊ DÒN</t>
  </si>
  <si>
    <t>27/09/1973</t>
  </si>
  <si>
    <t>082173017864</t>
  </si>
  <si>
    <t>Ấp 1 X. Tam Hiệp, H. Châu Thành, T. Tiền Giang</t>
  </si>
  <si>
    <t>NGUYỄN THỊ PHƯƠNG DUNG</t>
  </si>
  <si>
    <t>03/10/1994</t>
  </si>
  <si>
    <t>095194005147</t>
  </si>
  <si>
    <t>TT. Giá Rai, H. Giá Rai, T. Bạc Liêu</t>
  </si>
  <si>
    <t>NGUYỄN THIỀU KIỀU DUNG</t>
  </si>
  <si>
    <t>25/04/1998</t>
  </si>
  <si>
    <t>079198004113</t>
  </si>
  <si>
    <t>A3/42B/3 Tổ 2 Ấp 1A X. Vĩnh Lộc A, H. Bình Chánh, TP. Hồ Chí Minh</t>
  </si>
  <si>
    <t>HỒ TRẦN NHẤT DUY</t>
  </si>
  <si>
    <t>16/04/2003</t>
  </si>
  <si>
    <t>074203009035</t>
  </si>
  <si>
    <t>266/15/1/6 Tổ 23 Khu 2 P. Hiệp Thành, TP. Thủ Dầu Một, T. Bình Dương</t>
  </si>
  <si>
    <t>NGUYỄN THỊ NGỌC HÂN</t>
  </si>
  <si>
    <t>15/06/2004</t>
  </si>
  <si>
    <t>086304000053</t>
  </si>
  <si>
    <t>56/2 Đ. Số 8B P. Bình Hưng Hòa A, Q. Bình Tân, TP. Hồ Chí Minh</t>
  </si>
  <si>
    <t>LÊ QUANG HIỀN</t>
  </si>
  <si>
    <t>04/10/1986</t>
  </si>
  <si>
    <t>079086002654</t>
  </si>
  <si>
    <t>Tổ 71 Ấp Cây Trâm X. Phú Hòa Đông, H. Củ Chi, TP. Hồ Chí Minh</t>
  </si>
  <si>
    <t>PHẠM THỊ HOA</t>
  </si>
  <si>
    <t>16/09/1990</t>
  </si>
  <si>
    <t>038190056205</t>
  </si>
  <si>
    <t>34/46 ĐLBD Kp3 P. Phú Hòa, TP. Thủ Dầu Một, T. Bình Dương</t>
  </si>
  <si>
    <t>NGUYỄN THỊ THÚY HÒA</t>
  </si>
  <si>
    <t>26/09/2001</t>
  </si>
  <si>
    <t>091301002494</t>
  </si>
  <si>
    <t>Ấp Kinh 1 X. Hòa Điền, H. Kiên Lương, T. Kiên Giang</t>
  </si>
  <si>
    <t>PHẠM VĂN HOAN</t>
  </si>
  <si>
    <t>20/05/1981</t>
  </si>
  <si>
    <t>074081005167</t>
  </si>
  <si>
    <t>Ấp Rạch Đá X. Định Thành, H. Dầu Tiếng, T. Bình Dương</t>
  </si>
  <si>
    <t>VŨ VĂN HOÀNH</t>
  </si>
  <si>
    <t>11/12/1968</t>
  </si>
  <si>
    <t>024068000170</t>
  </si>
  <si>
    <t>244/20/12 Kp4 P. Thới An, Q.12, TP. Hồ Chí Minh</t>
  </si>
  <si>
    <t>NGUYỄN THỊ THU HỒNG</t>
  </si>
  <si>
    <t>10/06/2003</t>
  </si>
  <si>
    <t>074303008825</t>
  </si>
  <si>
    <t>20/5A Kp Tây P. Vĩnh Phú, TP. Thuận An, T. Bình Dương</t>
  </si>
  <si>
    <t>PHAN THỊ KIM HUỆ</t>
  </si>
  <si>
    <t>10/01/1982</t>
  </si>
  <si>
    <t>001182055881</t>
  </si>
  <si>
    <t>Thôn 3 X. Liên Đầm, H. Di Linh, T. Lâm Đồng</t>
  </si>
  <si>
    <t>BÙI VĂN HÙNG</t>
  </si>
  <si>
    <t>11/04/1998</t>
  </si>
  <si>
    <t>068098009995</t>
  </si>
  <si>
    <t>Thôn Đạ Sơn X. Đạ K' Nàng, H. Đam Rông, T. Lâm Đồng</t>
  </si>
  <si>
    <t>NGUYỄN PHAN THU HUYỀN</t>
  </si>
  <si>
    <t>02/07/1995</t>
  </si>
  <si>
    <t>074195002718</t>
  </si>
  <si>
    <t>Khu Phố 4B TT. Dầu Tiếng, H. Dầu Tiếng, T. Bình Dương</t>
  </si>
  <si>
    <t>IN SÙI KHÍU</t>
  </si>
  <si>
    <t>06/12/1990</t>
  </si>
  <si>
    <t>075190023067</t>
  </si>
  <si>
    <t>Ấp 5 X. Phú Lợi, H. Định Quán, T. Đồng Nai</t>
  </si>
  <si>
    <t>TRƯƠNG THÚY LAN</t>
  </si>
  <si>
    <t>04/06/1980</t>
  </si>
  <si>
    <t>079180001284</t>
  </si>
  <si>
    <t>479/11 Điện Biên Phủ P.25, Q. Bình Thạnh, TP. Hồ Chí Minh</t>
  </si>
  <si>
    <t>SU LIUQIAO</t>
  </si>
  <si>
    <t>08/02/1988</t>
  </si>
  <si>
    <t>EH6354689</t>
  </si>
  <si>
    <t>B83-84 Kdc Việt Sing P. An Phú, TP. Thuận An, T. Bình Dương</t>
  </si>
  <si>
    <t>ĐOÀN MINH LUÂN</t>
  </si>
  <si>
    <t>28/04/1997</t>
  </si>
  <si>
    <t>086097002342</t>
  </si>
  <si>
    <t>Ấp Hiếu Kinh A X. Hiếu Thành, H. Vũng Liêm, T. Vĩnh Long</t>
  </si>
  <si>
    <t>NGUYỄN THỊ BÍCH NGỌC</t>
  </si>
  <si>
    <t>15/07/1990</t>
  </si>
  <si>
    <t>075190025873</t>
  </si>
  <si>
    <t>2 Trung Lang P.12, Q. Tân Bình, TP. Hồ Chí Minh</t>
  </si>
  <si>
    <t>NGUYỄN THỊ HỒNG NGỌC</t>
  </si>
  <si>
    <t>13/05/2001</t>
  </si>
  <si>
    <t>082301007233</t>
  </si>
  <si>
    <t>Ấp Ông Non X. Tân Trung, TX. Gò Công, T. Tiền Giang</t>
  </si>
  <si>
    <t>TRẦN THÀNH NHÂN</t>
  </si>
  <si>
    <t>09/01/1987</t>
  </si>
  <si>
    <t>070087000026</t>
  </si>
  <si>
    <t>Tổ 12 Ấp Chợ X. Phước Thạnh, H. Củ Chi, TP. Hồ Chí Minh</t>
  </si>
  <si>
    <t>DƯƠNG YẾN NHI</t>
  </si>
  <si>
    <t>14/10/2005</t>
  </si>
  <si>
    <t>079305019526</t>
  </si>
  <si>
    <t>F12/16 Tổ 1 Ấp 6A X. Vĩnh Lộc A, H. Bình Chánh, TP. Hồ Chí Minh</t>
  </si>
  <si>
    <t>LÊ THỊ YẾN NHI</t>
  </si>
  <si>
    <t>30/06/1993</t>
  </si>
  <si>
    <t>042193010288</t>
  </si>
  <si>
    <t>5.04 Tháp C1 KNƠCT CT Saphire P. Phú Hữu, TP. Thủ Đức, TP. Hồ Chí Minh</t>
  </si>
  <si>
    <t>NGUYỄN LƯU KIỀU NHI</t>
  </si>
  <si>
    <t>06/10/1995</t>
  </si>
  <si>
    <t>068195005616</t>
  </si>
  <si>
    <t>150 Hồ Tùng Mậu P.1, TP. Bảo Lộc, T. Lâm Đồng</t>
  </si>
  <si>
    <t>ĐẶNG VĂN QUANG</t>
  </si>
  <si>
    <t>17/07/1997</t>
  </si>
  <si>
    <t>079097011123</t>
  </si>
  <si>
    <t>257/34 P. Đ. Giảng P. Bình Hưng Hòa, Q. Bình Tân, TP. Hồ Chí Minh</t>
  </si>
  <si>
    <t>PHAN THỊ DIỆU THÚY</t>
  </si>
  <si>
    <t>19/12/1993</t>
  </si>
  <si>
    <t>042193000509</t>
  </si>
  <si>
    <t>T3-B25.05 Knở Ctkhtmdv P. Thảo Điền, TP. Thủ Đức, TP. Hồ Chí Minh</t>
  </si>
  <si>
    <t>LA THANH THÙY</t>
  </si>
  <si>
    <t>20/04/1995</t>
  </si>
  <si>
    <t>074195000421</t>
  </si>
  <si>
    <t>ĐỖ THỊ TRANG</t>
  </si>
  <si>
    <t>24/12/1990</t>
  </si>
  <si>
    <t>038190017533</t>
  </si>
  <si>
    <t>1221 Tỉnh Lộ 15 Xóm Chùa X. An Phú, H. Củ Chi, TP. Hồ Chí Minh</t>
  </si>
  <si>
    <t>DƯƠNG MỸ TRANG</t>
  </si>
  <si>
    <t>10/08/1986</t>
  </si>
  <si>
    <t>074186004976</t>
  </si>
  <si>
    <t>Ấp Bàu Dầu X. Định An, H. Dầu Tiếng, T. Bình Dương</t>
  </si>
  <si>
    <t>HÀ KIỀU TRINH</t>
  </si>
  <si>
    <t>27/11/2006</t>
  </si>
  <si>
    <t>060306003174</t>
  </si>
  <si>
    <t>609/16/1 Nguyễn Ảnh Thủ Kp4 P. Hiệp Thành, Q.12, TP. Hồ Chí Minh</t>
  </si>
  <si>
    <t>PHẠM THỊ DUY TRINH</t>
  </si>
  <si>
    <t>19/11/2001</t>
  </si>
  <si>
    <t>064301008069</t>
  </si>
  <si>
    <t>Thôn 4 X. Đắk Búk So, H. Tuy Đức, T. Đắk Nông</t>
  </si>
  <si>
    <t>NGUYỄN VĂN TÚ</t>
  </si>
  <si>
    <t>23/12/1984</t>
  </si>
  <si>
    <t>082084009569</t>
  </si>
  <si>
    <t>144/1A Lê Tấn Bê P. An Lạc, Q. Bình Tân, TP. Hồ Chí Minh</t>
  </si>
  <si>
    <t>NGUYỄN THỊ CÁC TƯỜNG</t>
  </si>
  <si>
    <t>26/03/2001</t>
  </si>
  <si>
    <t>087301005552</t>
  </si>
  <si>
    <t>Ấp 1 X. Tân Nghĩa, H. Cao Lãnh, T. Đồng Tháp</t>
  </si>
  <si>
    <t>TRƯƠNG THỊ CÁT TƯỜNG</t>
  </si>
  <si>
    <t>25/10/1999</t>
  </si>
  <si>
    <t>064199011211</t>
  </si>
  <si>
    <t>Thôn 2 X. Ia HLốp, H. Chư Sê, T. Gia Lai</t>
  </si>
  <si>
    <t>VÕ DUY VIỆN</t>
  </si>
  <si>
    <t>01/07/2002</t>
  </si>
  <si>
    <t>067202002769</t>
  </si>
  <si>
    <t>Thôn 8 X. Nhân Cơ, H. Đắk R'Lấp, T. Đắk Nông</t>
  </si>
  <si>
    <t>NGÔ MINH VƯƠNG</t>
  </si>
  <si>
    <t>16/01/1992</t>
  </si>
  <si>
    <t>051092012665</t>
  </si>
  <si>
    <t>41/23/9 Tổ 10 Kp4 P. Tân Thới Hiệp, Q.12, TP. Hồ Chí Minh</t>
  </si>
  <si>
    <t>NGÔ THỤY QUỲNH VY</t>
  </si>
  <si>
    <t>21/05/1990</t>
  </si>
  <si>
    <t>056190000197</t>
  </si>
  <si>
    <t>103B Đường 475 Kp5 P. Phước Long B, TP. Thủ Đức, TP. Hồ Chí Minh</t>
  </si>
  <si>
    <t>PHẠM VŨ THÚY VY</t>
  </si>
  <si>
    <t>17/02/1993</t>
  </si>
  <si>
    <t>094193008223</t>
  </si>
  <si>
    <t>319 Quốc Lộ 1 P. 6, TP. Sóc Trăng, T. Sóc Trăng</t>
  </si>
  <si>
    <t>HUỲNH THỊ Ý</t>
  </si>
  <si>
    <t>12/03/1991</t>
  </si>
  <si>
    <t>074191000640</t>
  </si>
  <si>
    <t>Khu Phố 2 TT. Dầu Tiếng, H. Dầu Tiếng, T. Bình Dương</t>
  </si>
  <si>
    <t>TRẦN THỊ NGỌC YẾN</t>
  </si>
  <si>
    <t>03/09/1994</t>
  </si>
  <si>
    <t>087194007059</t>
  </si>
  <si>
    <t>B04-03 C/C Theharmona P.14, Q. Tân Bình, TP. Hồ Chí Minh</t>
  </si>
  <si>
    <t>LIÊN CÔNG</t>
  </si>
  <si>
    <t>PHONG LIÊN</t>
  </si>
  <si>
    <t>LINH KT</t>
  </si>
  <si>
    <t>HƯNG A1</t>
  </si>
  <si>
    <t>PHƯƠNG G(S)</t>
  </si>
  <si>
    <t>MINH (THỨC)</t>
  </si>
  <si>
    <t>VÂN NỮ</t>
  </si>
  <si>
    <t>79029K23B11029</t>
  </si>
  <si>
    <t>CHUNG VÂN</t>
  </si>
  <si>
    <t>DŨNG HM</t>
  </si>
  <si>
    <t>HOÀNG CC</t>
  </si>
  <si>
    <t>VÂN ĐX</t>
  </si>
  <si>
    <t>TUYẾT</t>
  </si>
  <si>
    <t>C BẢO</t>
  </si>
  <si>
    <t>T HƯNG A1</t>
  </si>
  <si>
    <t>T MINH</t>
  </si>
  <si>
    <t>LÊ TẤN LỢI</t>
  </si>
  <si>
    <t>T NGUYÊN-BẢO</t>
  </si>
  <si>
    <t>C HƯƠNG-TIẾN</t>
  </si>
  <si>
    <t>T CÔNG</t>
  </si>
  <si>
    <t>C LÁNH</t>
  </si>
  <si>
    <t>K29</t>
  </si>
  <si>
    <t>giờ/xe</t>
  </si>
  <si>
    <t>tổng km/xe</t>
  </si>
  <si>
    <t>1hv/km/xe</t>
  </si>
  <si>
    <t>Ngoài đường</t>
  </si>
  <si>
    <t xml:space="preserve"> - Tốc độ phù hợp, chuyển số phù hợp</t>
  </si>
  <si>
    <t xml:space="preserve"> - Phương pháp dừng và xuất phát khi có tải trọng</t>
  </si>
  <si>
    <t xml:space="preserve"> - Đảm bảo an toàn khi vào và ra cao tốc</t>
  </si>
  <si>
    <t>(Thực hành hạng B số tự động)</t>
  </si>
  <si>
    <t>Bài 5: Tập lái trên đường bằng</t>
  </si>
  <si>
    <t>Bài 6: Bài tập lái xe tổng hợp</t>
  </si>
  <si>
    <t>Bài 07: Tập lái trên đường cao tốc và cao tốc phân kỳ đầu tư</t>
  </si>
  <si>
    <t xml:space="preserve">Bài 08:Tập lái trên đường đèo núi. </t>
  </si>
  <si>
    <t>Bài 09: Tập lái trên đường phức tạp</t>
  </si>
  <si>
    <t>Bài 10: Tập lái ban đêm</t>
  </si>
  <si>
    <t>Bài 11: Tập lái xe có tải</t>
  </si>
  <si>
    <t>1 hv</t>
  </si>
  <si>
    <t>5hv/1xe</t>
  </si>
  <si>
    <t>24 giờ</t>
  </si>
  <si>
    <t>Bài 1:Tập lái tại chỗ không nổ máy.</t>
  </si>
  <si>
    <t>Bài 2: Tập lái tại chỗ có nổ máy.</t>
  </si>
  <si>
    <t>Bài 3:Tập lái trong bãi phẳng .</t>
  </si>
  <si>
    <t xml:space="preserve">Bài 4: Tập lái trong hình số 3 và số 8 ghép, </t>
  </si>
  <si>
    <t>Hạng B (STĐ)</t>
  </si>
  <si>
    <t>1hv</t>
  </si>
  <si>
    <t>5hv/1 xe</t>
  </si>
  <si>
    <t>sa hình
41 giờ/1hv
205 giờ / 5hv/ 1 xe</t>
  </si>
  <si>
    <t>đường (DAT)
24 giờ/1hv
120 giờ/ 5hv /1 xe
Thực hiện 50%</t>
  </si>
  <si>
    <t xml:space="preserve">Trưởng Ban nghề </t>
  </si>
  <si>
    <t>Bài 08:Tập lái trên đường dốc, đường vòng quanh co</t>
  </si>
  <si>
    <t xml:space="preserve"> - Tốc độ phù hợp, thay đổi số phù hợp</t>
  </si>
  <si>
    <t xml:space="preserve"> - Phương pháp lái xe lên - xuống dốc </t>
  </si>
  <si>
    <t xml:space="preserve"> - Phán đoán, xử trí và thực hiện các biện pháp an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</si>
</sst>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2" fillId="0" borderId="0"/>
    <xf numFmtId="0" fontId="32" fillId="0" borderId="0"/>
  </cellStyleXfs>
  <cellXfs count="33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0" fillId="0" borderId="0" xfId="0" applyFont="1"/>
    <xf numFmtId="164" fontId="9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8" fillId="0" borderId="0" xfId="0" applyFont="1"/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0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center"/>
    </xf>
    <xf numFmtId="0" fontId="21" fillId="0" borderId="0" xfId="0" applyFont="1" applyAlignment="1">
      <alignment horizontal="left"/>
    </xf>
    <xf numFmtId="0" fontId="20" fillId="0" borderId="0" xfId="0" applyFont="1"/>
    <xf numFmtId="0" fontId="19" fillId="0" borderId="6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4" fontId="20" fillId="0" borderId="2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0" fillId="0" borderId="6" xfId="0" applyFont="1" applyBorder="1" applyAlignment="1" applyProtection="1">
      <alignment horizontal="center" vertical="center"/>
      <protection locked="0"/>
    </xf>
    <xf numFmtId="14" fontId="20" fillId="0" borderId="26" xfId="0" applyNumberFormat="1" applyFont="1" applyBorder="1" applyAlignment="1">
      <alignment horizontal="right" vertical="center"/>
    </xf>
    <xf numFmtId="14" fontId="20" fillId="0" borderId="27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12" xfId="0" applyFont="1" applyBorder="1" applyAlignment="1" applyProtection="1">
      <alignment horizontal="center" vertical="center"/>
      <protection locked="0"/>
    </xf>
    <xf numFmtId="14" fontId="1" fillId="0" borderId="21" xfId="0" applyNumberFormat="1" applyFont="1" applyBorder="1" applyAlignment="1">
      <alignment horizontal="right" vertical="center"/>
    </xf>
    <xf numFmtId="14" fontId="20" fillId="0" borderId="4" xfId="0" applyNumberFormat="1" applyFont="1" applyBorder="1" applyAlignment="1">
      <alignment horizontal="right" vertical="center"/>
    </xf>
    <xf numFmtId="14" fontId="20" fillId="0" borderId="8" xfId="0" applyNumberFormat="1" applyFont="1" applyBorder="1" applyAlignment="1">
      <alignment horizontal="right" vertical="center"/>
    </xf>
    <xf numFmtId="14" fontId="20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14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0" xfId="0" applyFont="1" applyBorder="1"/>
    <xf numFmtId="0" fontId="10" fillId="0" borderId="35" xfId="0" applyFont="1" applyBorder="1"/>
    <xf numFmtId="0" fontId="10" fillId="0" borderId="29" xfId="0" applyFont="1" applyBorder="1"/>
    <xf numFmtId="0" fontId="10" fillId="0" borderId="36" xfId="0" applyFont="1" applyBorder="1"/>
    <xf numFmtId="0" fontId="2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34" xfId="0" applyFont="1" applyBorder="1" applyAlignment="1">
      <alignment horizontal="left" vertical="center"/>
    </xf>
    <xf numFmtId="0" fontId="22" fillId="0" borderId="30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1" fontId="9" fillId="0" borderId="6" xfId="0" applyNumberFormat="1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14" fontId="8" fillId="0" borderId="37" xfId="0" applyNumberFormat="1" applyFont="1" applyBorder="1" applyAlignment="1">
      <alignment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164" fontId="9" fillId="0" borderId="3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0" fillId="0" borderId="38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0" fillId="0" borderId="1" xfId="0" applyFont="1" applyBorder="1"/>
    <xf numFmtId="49" fontId="30" fillId="0" borderId="1" xfId="0" applyNumberFormat="1" applyFont="1" applyBorder="1"/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14" fontId="8" fillId="0" borderId="22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27" fillId="0" borderId="0" xfId="0" applyFont="1"/>
    <xf numFmtId="0" fontId="26" fillId="0" borderId="1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6" xfId="0" applyFont="1" applyBorder="1"/>
    <xf numFmtId="14" fontId="8" fillId="0" borderId="23" xfId="0" applyNumberFormat="1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30" fillId="0" borderId="8" xfId="0" applyFont="1" applyBorder="1"/>
    <xf numFmtId="14" fontId="27" fillId="0" borderId="1" xfId="1" applyNumberFormat="1" applyFont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30" fillId="0" borderId="42" xfId="0" applyFont="1" applyBorder="1"/>
    <xf numFmtId="0" fontId="29" fillId="0" borderId="42" xfId="0" applyFont="1" applyBorder="1" applyAlignment="1">
      <alignment vertical="center" wrapText="1"/>
    </xf>
    <xf numFmtId="0" fontId="30" fillId="0" borderId="43" xfId="0" applyFont="1" applyBorder="1"/>
    <xf numFmtId="0" fontId="29" fillId="0" borderId="2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49" fontId="29" fillId="0" borderId="5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/>
    </xf>
    <xf numFmtId="0" fontId="30" fillId="0" borderId="6" xfId="0" applyFont="1" applyBorder="1"/>
    <xf numFmtId="14" fontId="30" fillId="0" borderId="6" xfId="0" applyNumberFormat="1" applyFont="1" applyBorder="1"/>
    <xf numFmtId="49" fontId="30" fillId="0" borderId="6" xfId="0" applyNumberFormat="1" applyFont="1" applyBorder="1"/>
    <xf numFmtId="0" fontId="30" fillId="0" borderId="15" xfId="0" applyFont="1" applyBorder="1"/>
    <xf numFmtId="14" fontId="30" fillId="0" borderId="1" xfId="0" applyNumberFormat="1" applyFont="1" applyBorder="1"/>
    <xf numFmtId="0" fontId="30" fillId="0" borderId="17" xfId="0" applyFont="1" applyBorder="1"/>
    <xf numFmtId="0" fontId="30" fillId="0" borderId="12" xfId="0" applyFont="1" applyBorder="1"/>
    <xf numFmtId="14" fontId="30" fillId="0" borderId="12" xfId="0" applyNumberFormat="1" applyFont="1" applyBorder="1"/>
    <xf numFmtId="49" fontId="30" fillId="0" borderId="12" xfId="0" applyNumberFormat="1" applyFont="1" applyBorder="1"/>
    <xf numFmtId="0" fontId="30" fillId="0" borderId="20" xfId="0" applyFont="1" applyBorder="1"/>
    <xf numFmtId="0" fontId="30" fillId="0" borderId="2" xfId="0" applyFont="1" applyBorder="1"/>
    <xf numFmtId="14" fontId="30" fillId="0" borderId="2" xfId="0" applyNumberFormat="1" applyFont="1" applyBorder="1"/>
    <xf numFmtId="49" fontId="30" fillId="0" borderId="2" xfId="0" applyNumberFormat="1" applyFont="1" applyBorder="1"/>
    <xf numFmtId="0" fontId="30" fillId="0" borderId="18" xfId="0" applyFont="1" applyBorder="1"/>
    <xf numFmtId="0" fontId="30" fillId="0" borderId="4" xfId="0" applyFont="1" applyBorder="1"/>
    <xf numFmtId="0" fontId="30" fillId="0" borderId="10" xfId="0" applyFont="1" applyBorder="1"/>
    <xf numFmtId="0" fontId="30" fillId="0" borderId="38" xfId="0" applyFont="1" applyBorder="1"/>
    <xf numFmtId="49" fontId="30" fillId="0" borderId="38" xfId="0" applyNumberFormat="1" applyFont="1" applyBorder="1"/>
    <xf numFmtId="0" fontId="30" fillId="0" borderId="39" xfId="0" applyFont="1" applyBorder="1"/>
    <xf numFmtId="0" fontId="30" fillId="0" borderId="0" xfId="0" applyFont="1" applyAlignment="1">
      <alignment horizontal="center" vertical="center"/>
    </xf>
    <xf numFmtId="0" fontId="30" fillId="0" borderId="0" xfId="0" applyFont="1"/>
    <xf numFmtId="49" fontId="30" fillId="0" borderId="0" xfId="0" applyNumberFormat="1" applyFont="1"/>
    <xf numFmtId="0" fontId="29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27" fillId="0" borderId="1" xfId="0" applyFont="1" applyBorder="1"/>
    <xf numFmtId="1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14" fontId="30" fillId="0" borderId="12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27" fillId="4" borderId="1" xfId="0" applyFont="1" applyFill="1" applyBorder="1"/>
    <xf numFmtId="14" fontId="27" fillId="4" borderId="1" xfId="0" applyNumberFormat="1" applyFont="1" applyFill="1" applyBorder="1"/>
    <xf numFmtId="0" fontId="34" fillId="4" borderId="1" xfId="0" applyFont="1" applyFill="1" applyBorder="1"/>
    <xf numFmtId="14" fontId="34" fillId="4" borderId="1" xfId="0" applyNumberFormat="1" applyFont="1" applyFill="1" applyBorder="1"/>
    <xf numFmtId="0" fontId="29" fillId="3" borderId="22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49" fontId="29" fillId="3" borderId="5" xfId="0" applyNumberFormat="1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14" fontId="30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28" xfId="0" applyFont="1" applyBorder="1"/>
    <xf numFmtId="0" fontId="30" fillId="0" borderId="44" xfId="0" applyFont="1" applyBorder="1"/>
    <xf numFmtId="14" fontId="30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4" borderId="1" xfId="0" applyFont="1" applyFill="1" applyBorder="1"/>
    <xf numFmtId="14" fontId="30" fillId="4" borderId="1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/>
    <xf numFmtId="0" fontId="30" fillId="4" borderId="1" xfId="0" applyFont="1" applyFill="1" applyBorder="1" applyAlignment="1">
      <alignment horizontal="center" vertical="center"/>
    </xf>
    <xf numFmtId="14" fontId="27" fillId="0" borderId="1" xfId="1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/>
    <xf numFmtId="14" fontId="27" fillId="0" borderId="1" xfId="0" applyNumberFormat="1" applyFont="1" applyBorder="1"/>
    <xf numFmtId="0" fontId="34" fillId="0" borderId="1" xfId="0" applyFont="1" applyBorder="1"/>
    <xf numFmtId="14" fontId="8" fillId="0" borderId="22" xfId="0" applyNumberFormat="1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4" fontId="8" fillId="0" borderId="48" xfId="0" applyNumberFormat="1" applyFont="1" applyBorder="1" applyAlignment="1">
      <alignment vertical="center"/>
    </xf>
    <xf numFmtId="0" fontId="8" fillId="0" borderId="24" xfId="0" applyFont="1" applyBorder="1" applyAlignment="1">
      <alignment horizontal="left" vertical="top"/>
    </xf>
    <xf numFmtId="1" fontId="0" fillId="0" borderId="0" xfId="0" applyNumberFormat="1"/>
    <xf numFmtId="0" fontId="11" fillId="0" borderId="11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14" fontId="1" fillId="0" borderId="26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14" fontId="8" fillId="0" borderId="37" xfId="0" applyNumberFormat="1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30" fillId="0" borderId="41" xfId="0" applyNumberFormat="1" applyFont="1" applyBorder="1" applyAlignment="1">
      <alignment horizontal="left"/>
    </xf>
    <xf numFmtId="0" fontId="29" fillId="0" borderId="5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14" fontId="29" fillId="0" borderId="6" xfId="0" applyNumberFormat="1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14" fontId="29" fillId="0" borderId="12" xfId="0" applyNumberFormat="1" applyFont="1" applyBorder="1" applyAlignment="1">
      <alignment horizontal="center" vertical="center" wrapText="1"/>
    </xf>
    <xf numFmtId="14" fontId="29" fillId="0" borderId="5" xfId="0" applyNumberFormat="1" applyFont="1" applyBorder="1" applyAlignment="1">
      <alignment horizontal="center" vertical="center" wrapText="1"/>
    </xf>
    <xf numFmtId="14" fontId="29" fillId="0" borderId="3" xfId="0" applyNumberFormat="1" applyFont="1" applyBorder="1" applyAlignment="1">
      <alignment horizontal="center" vertical="center" wrapText="1"/>
    </xf>
    <xf numFmtId="14" fontId="29" fillId="0" borderId="11" xfId="0" applyNumberFormat="1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1" fillId="0" borderId="1" xfId="0" applyFont="1" applyBorder="1"/>
    <xf numFmtId="0" fontId="3" fillId="0" borderId="1" xfId="0" applyFont="1" applyBorder="1"/>
    <xf numFmtId="0" fontId="10" fillId="0" borderId="1" xfId="0" applyFont="1" applyBorder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3">
    <cellStyle name="Normal" xfId="0" builtinId="0"/>
    <cellStyle name="Normal 3" xfId="1" xr:uid="{258465E9-AB77-4D12-93EB-65645B2FA3D8}"/>
    <cellStyle name="Normal 3 52" xfId="2" xr:uid="{B0865951-EBB2-4FCA-9DA3-8F5E19AEF3E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B1F9-DB7F-4295-AA3F-D4F26246182E}">
  <dimension ref="A1:F46"/>
  <sheetViews>
    <sheetView topLeftCell="A13" zoomScale="85" zoomScaleNormal="85" workbookViewId="0">
      <selection activeCell="F29" sqref="B29:F33"/>
    </sheetView>
  </sheetViews>
  <sheetFormatPr defaultRowHeight="15" x14ac:dyDescent="0.25"/>
  <cols>
    <col min="1" max="1" width="4.7109375" bestFit="1" customWidth="1"/>
    <col min="2" max="2" width="30.42578125" bestFit="1" customWidth="1"/>
    <col min="3" max="3" width="10.140625" bestFit="1" customWidth="1"/>
    <col min="4" max="4" width="13.140625" bestFit="1" customWidth="1"/>
    <col min="5" max="5" width="65.85546875" bestFit="1" customWidth="1"/>
    <col min="6" max="6" width="18.28515625" bestFit="1" customWidth="1"/>
  </cols>
  <sheetData>
    <row r="1" spans="1:6" x14ac:dyDescent="0.25">
      <c r="A1" s="194" t="s">
        <v>2</v>
      </c>
      <c r="B1" s="194" t="s">
        <v>3</v>
      </c>
      <c r="C1" s="194" t="s">
        <v>4</v>
      </c>
      <c r="D1" s="194" t="s">
        <v>107</v>
      </c>
      <c r="E1" s="194" t="s">
        <v>108</v>
      </c>
      <c r="F1" s="194" t="s">
        <v>69</v>
      </c>
    </row>
    <row r="2" spans="1:6" x14ac:dyDescent="0.25">
      <c r="A2" s="159">
        <v>1</v>
      </c>
      <c r="B2" s="167" t="s">
        <v>144</v>
      </c>
      <c r="C2" s="168" t="s">
        <v>145</v>
      </c>
      <c r="D2" s="167" t="s">
        <v>146</v>
      </c>
      <c r="E2" s="167" t="s">
        <v>147</v>
      </c>
      <c r="F2" s="169" t="s">
        <v>332</v>
      </c>
    </row>
    <row r="3" spans="1:6" x14ac:dyDescent="0.25">
      <c r="A3" s="159">
        <v>2</v>
      </c>
      <c r="B3" s="167" t="s">
        <v>172</v>
      </c>
      <c r="C3" s="168" t="s">
        <v>173</v>
      </c>
      <c r="D3" s="167" t="s">
        <v>174</v>
      </c>
      <c r="E3" s="167" t="s">
        <v>175</v>
      </c>
      <c r="F3" s="169" t="s">
        <v>332</v>
      </c>
    </row>
    <row r="4" spans="1:6" x14ac:dyDescent="0.25">
      <c r="A4" s="159">
        <v>3</v>
      </c>
      <c r="B4" s="167" t="s">
        <v>232</v>
      </c>
      <c r="C4" s="168" t="s">
        <v>233</v>
      </c>
      <c r="D4" s="167" t="s">
        <v>234</v>
      </c>
      <c r="E4" s="167" t="s">
        <v>235</v>
      </c>
      <c r="F4" s="169" t="s">
        <v>327</v>
      </c>
    </row>
    <row r="5" spans="1:6" x14ac:dyDescent="0.25">
      <c r="A5" s="159">
        <v>4</v>
      </c>
      <c r="B5" s="167" t="s">
        <v>180</v>
      </c>
      <c r="C5" s="168" t="s">
        <v>181</v>
      </c>
      <c r="D5" s="167" t="s">
        <v>182</v>
      </c>
      <c r="E5" s="167" t="s">
        <v>183</v>
      </c>
      <c r="F5" s="169" t="s">
        <v>113</v>
      </c>
    </row>
    <row r="6" spans="1:6" x14ac:dyDescent="0.25">
      <c r="A6" s="159">
        <v>5</v>
      </c>
      <c r="B6" s="167" t="s">
        <v>192</v>
      </c>
      <c r="C6" s="168" t="s">
        <v>193</v>
      </c>
      <c r="D6" s="167" t="s">
        <v>194</v>
      </c>
      <c r="E6" s="167" t="s">
        <v>195</v>
      </c>
      <c r="F6" s="169" t="s">
        <v>116</v>
      </c>
    </row>
    <row r="7" spans="1:6" x14ac:dyDescent="0.25">
      <c r="A7" s="159">
        <v>6</v>
      </c>
      <c r="B7" s="167" t="s">
        <v>212</v>
      </c>
      <c r="C7" s="168" t="s">
        <v>213</v>
      </c>
      <c r="D7" s="167" t="s">
        <v>214</v>
      </c>
      <c r="E7" s="167" t="s">
        <v>215</v>
      </c>
      <c r="F7" s="169" t="s">
        <v>116</v>
      </c>
    </row>
    <row r="8" spans="1:6" x14ac:dyDescent="0.25">
      <c r="A8" s="159">
        <v>7</v>
      </c>
      <c r="B8" s="167" t="s">
        <v>224</v>
      </c>
      <c r="C8" s="168" t="s">
        <v>225</v>
      </c>
      <c r="D8" s="167" t="s">
        <v>226</v>
      </c>
      <c r="E8" s="167" t="s">
        <v>227</v>
      </c>
      <c r="F8" s="169" t="s">
        <v>116</v>
      </c>
    </row>
    <row r="9" spans="1:6" x14ac:dyDescent="0.25">
      <c r="A9" s="159">
        <v>8</v>
      </c>
      <c r="B9" s="169" t="s">
        <v>264</v>
      </c>
      <c r="C9" s="170" t="s">
        <v>265</v>
      </c>
      <c r="D9" s="169" t="s">
        <v>266</v>
      </c>
      <c r="E9" s="169" t="s">
        <v>215</v>
      </c>
      <c r="F9" s="169" t="s">
        <v>116</v>
      </c>
    </row>
    <row r="10" spans="1:6" x14ac:dyDescent="0.25">
      <c r="A10" s="159">
        <v>9</v>
      </c>
      <c r="B10" s="167" t="s">
        <v>271</v>
      </c>
      <c r="C10" s="168" t="s">
        <v>272</v>
      </c>
      <c r="D10" s="167" t="s">
        <v>273</v>
      </c>
      <c r="E10" s="167" t="s">
        <v>274</v>
      </c>
      <c r="F10" s="169" t="s">
        <v>116</v>
      </c>
    </row>
    <row r="11" spans="1:6" x14ac:dyDescent="0.25">
      <c r="A11" s="159">
        <v>10</v>
      </c>
      <c r="B11" s="167" t="s">
        <v>311</v>
      </c>
      <c r="C11" s="168" t="s">
        <v>312</v>
      </c>
      <c r="D11" s="167" t="s">
        <v>313</v>
      </c>
      <c r="E11" s="167" t="s">
        <v>314</v>
      </c>
      <c r="F11" s="169" t="s">
        <v>116</v>
      </c>
    </row>
    <row r="12" spans="1:6" x14ac:dyDescent="0.25">
      <c r="A12" s="159">
        <v>11</v>
      </c>
      <c r="B12" s="167" t="s">
        <v>256</v>
      </c>
      <c r="C12" s="168" t="s">
        <v>257</v>
      </c>
      <c r="D12" s="167" t="s">
        <v>258</v>
      </c>
      <c r="E12" s="167" t="s">
        <v>259</v>
      </c>
      <c r="F12" s="169" t="s">
        <v>328</v>
      </c>
    </row>
    <row r="13" spans="1:6" x14ac:dyDescent="0.25">
      <c r="A13" s="159">
        <v>12</v>
      </c>
      <c r="B13" s="167" t="s">
        <v>244</v>
      </c>
      <c r="C13" s="168" t="s">
        <v>245</v>
      </c>
      <c r="D13" s="167" t="s">
        <v>246</v>
      </c>
      <c r="E13" s="167" t="s">
        <v>247</v>
      </c>
      <c r="F13" s="169" t="s">
        <v>329</v>
      </c>
    </row>
    <row r="14" spans="1:6" x14ac:dyDescent="0.25">
      <c r="A14" s="159">
        <v>13</v>
      </c>
      <c r="B14" s="167" t="s">
        <v>184</v>
      </c>
      <c r="C14" s="168" t="s">
        <v>185</v>
      </c>
      <c r="D14" s="167" t="s">
        <v>186</v>
      </c>
      <c r="E14" s="167" t="s">
        <v>187</v>
      </c>
      <c r="F14" s="169" t="s">
        <v>322</v>
      </c>
    </row>
    <row r="15" spans="1:6" x14ac:dyDescent="0.25">
      <c r="A15" s="159">
        <v>14</v>
      </c>
      <c r="B15" s="167" t="s">
        <v>140</v>
      </c>
      <c r="C15" s="168" t="s">
        <v>141</v>
      </c>
      <c r="D15" s="167" t="s">
        <v>142</v>
      </c>
      <c r="E15" s="167" t="s">
        <v>143</v>
      </c>
      <c r="F15" s="169" t="s">
        <v>319</v>
      </c>
    </row>
    <row r="16" spans="1:6" x14ac:dyDescent="0.25">
      <c r="A16" s="159">
        <v>15</v>
      </c>
      <c r="B16" s="167" t="s">
        <v>164</v>
      </c>
      <c r="C16" s="168" t="s">
        <v>165</v>
      </c>
      <c r="D16" s="167" t="s">
        <v>166</v>
      </c>
      <c r="E16" s="167" t="s">
        <v>167</v>
      </c>
      <c r="F16" s="169" t="s">
        <v>319</v>
      </c>
    </row>
    <row r="17" spans="1:6" x14ac:dyDescent="0.25">
      <c r="A17" s="159">
        <v>16</v>
      </c>
      <c r="B17" s="167" t="s">
        <v>148</v>
      </c>
      <c r="C17" s="168" t="s">
        <v>149</v>
      </c>
      <c r="D17" s="167" t="s">
        <v>150</v>
      </c>
      <c r="E17" s="167" t="s">
        <v>151</v>
      </c>
      <c r="F17" s="169" t="s">
        <v>319</v>
      </c>
    </row>
    <row r="18" spans="1:6" x14ac:dyDescent="0.25">
      <c r="A18" s="159">
        <v>17</v>
      </c>
      <c r="B18" s="167" t="s">
        <v>283</v>
      </c>
      <c r="C18" s="168" t="s">
        <v>284</v>
      </c>
      <c r="D18" s="167" t="s">
        <v>285</v>
      </c>
      <c r="E18" s="167" t="s">
        <v>286</v>
      </c>
      <c r="F18" s="169" t="s">
        <v>319</v>
      </c>
    </row>
    <row r="19" spans="1:6" x14ac:dyDescent="0.25">
      <c r="A19" s="159">
        <v>18</v>
      </c>
      <c r="B19" s="167" t="s">
        <v>152</v>
      </c>
      <c r="C19" s="168" t="s">
        <v>153</v>
      </c>
      <c r="D19" s="167" t="s">
        <v>154</v>
      </c>
      <c r="E19" s="167" t="s">
        <v>155</v>
      </c>
      <c r="F19" s="169" t="s">
        <v>321</v>
      </c>
    </row>
    <row r="20" spans="1:6" x14ac:dyDescent="0.25">
      <c r="A20" s="159">
        <v>19</v>
      </c>
      <c r="B20" s="167" t="s">
        <v>196</v>
      </c>
      <c r="C20" s="168" t="s">
        <v>197</v>
      </c>
      <c r="D20" s="167" t="s">
        <v>198</v>
      </c>
      <c r="E20" s="167" t="s">
        <v>199</v>
      </c>
      <c r="F20" s="169" t="s">
        <v>321</v>
      </c>
    </row>
    <row r="21" spans="1:6" x14ac:dyDescent="0.25">
      <c r="A21" s="159">
        <v>20</v>
      </c>
      <c r="B21" s="167" t="s">
        <v>299</v>
      </c>
      <c r="C21" s="168" t="s">
        <v>300</v>
      </c>
      <c r="D21" s="167" t="s">
        <v>301</v>
      </c>
      <c r="E21" s="167" t="s">
        <v>302</v>
      </c>
      <c r="F21" s="169" t="s">
        <v>321</v>
      </c>
    </row>
    <row r="22" spans="1:6" x14ac:dyDescent="0.25">
      <c r="A22" s="159">
        <v>21</v>
      </c>
      <c r="B22" s="167" t="s">
        <v>200</v>
      </c>
      <c r="C22" s="168" t="s">
        <v>201</v>
      </c>
      <c r="D22" s="167" t="s">
        <v>202</v>
      </c>
      <c r="E22" s="167" t="s">
        <v>203</v>
      </c>
      <c r="F22" s="169" t="s">
        <v>117</v>
      </c>
    </row>
    <row r="23" spans="1:6" x14ac:dyDescent="0.25">
      <c r="A23" s="159">
        <v>22</v>
      </c>
      <c r="B23" s="167" t="s">
        <v>204</v>
      </c>
      <c r="C23" s="168" t="s">
        <v>205</v>
      </c>
      <c r="D23" s="167" t="s">
        <v>206</v>
      </c>
      <c r="E23" s="167" t="s">
        <v>207</v>
      </c>
      <c r="F23" s="169" t="s">
        <v>117</v>
      </c>
    </row>
    <row r="24" spans="1:6" x14ac:dyDescent="0.25">
      <c r="A24" s="159">
        <v>23</v>
      </c>
      <c r="B24" s="167" t="s">
        <v>248</v>
      </c>
      <c r="C24" s="168" t="s">
        <v>249</v>
      </c>
      <c r="D24" s="167" t="s">
        <v>250</v>
      </c>
      <c r="E24" s="167" t="s">
        <v>251</v>
      </c>
      <c r="F24" s="169" t="s">
        <v>117</v>
      </c>
    </row>
    <row r="25" spans="1:6" x14ac:dyDescent="0.25">
      <c r="A25" s="159">
        <v>24</v>
      </c>
      <c r="B25" s="167" t="s">
        <v>260</v>
      </c>
      <c r="C25" s="168" t="s">
        <v>261</v>
      </c>
      <c r="D25" s="167" t="s">
        <v>262</v>
      </c>
      <c r="E25" s="167" t="s">
        <v>263</v>
      </c>
      <c r="F25" s="169" t="s">
        <v>117</v>
      </c>
    </row>
    <row r="26" spans="1:6" x14ac:dyDescent="0.25">
      <c r="A26" s="159">
        <v>25</v>
      </c>
      <c r="B26" s="167" t="s">
        <v>236</v>
      </c>
      <c r="C26" s="168" t="s">
        <v>237</v>
      </c>
      <c r="D26" s="167" t="s">
        <v>238</v>
      </c>
      <c r="E26" s="167" t="s">
        <v>239</v>
      </c>
      <c r="F26" s="169" t="s">
        <v>324</v>
      </c>
    </row>
    <row r="27" spans="1:6" x14ac:dyDescent="0.25">
      <c r="A27" s="159">
        <v>26</v>
      </c>
      <c r="B27" s="167" t="s">
        <v>160</v>
      </c>
      <c r="C27" s="168" t="s">
        <v>161</v>
      </c>
      <c r="D27" s="167" t="s">
        <v>162</v>
      </c>
      <c r="E27" s="167" t="s">
        <v>163</v>
      </c>
      <c r="F27" s="169" t="s">
        <v>114</v>
      </c>
    </row>
    <row r="28" spans="1:6" x14ac:dyDescent="0.25">
      <c r="A28" s="159">
        <v>27</v>
      </c>
      <c r="B28" s="167" t="s">
        <v>168</v>
      </c>
      <c r="C28" s="168" t="s">
        <v>169</v>
      </c>
      <c r="D28" s="167" t="s">
        <v>170</v>
      </c>
      <c r="E28" s="167" t="s">
        <v>171</v>
      </c>
      <c r="F28" s="169" t="s">
        <v>114</v>
      </c>
    </row>
    <row r="29" spans="1:6" x14ac:dyDescent="0.25">
      <c r="A29" s="159">
        <v>28</v>
      </c>
      <c r="B29" s="159" t="s">
        <v>156</v>
      </c>
      <c r="C29" s="195" t="s">
        <v>157</v>
      </c>
      <c r="D29" s="159" t="s">
        <v>158</v>
      </c>
      <c r="E29" s="159" t="s">
        <v>159</v>
      </c>
      <c r="F29" s="196" t="s">
        <v>320</v>
      </c>
    </row>
    <row r="30" spans="1:6" x14ac:dyDescent="0.25">
      <c r="A30" s="159">
        <v>29</v>
      </c>
      <c r="B30" s="159" t="s">
        <v>188</v>
      </c>
      <c r="C30" s="195" t="s">
        <v>189</v>
      </c>
      <c r="D30" s="159" t="s">
        <v>190</v>
      </c>
      <c r="E30" s="159" t="s">
        <v>191</v>
      </c>
      <c r="F30" s="196" t="s">
        <v>320</v>
      </c>
    </row>
    <row r="31" spans="1:6" x14ac:dyDescent="0.25">
      <c r="A31" s="159">
        <v>30</v>
      </c>
      <c r="B31" s="159" t="s">
        <v>228</v>
      </c>
      <c r="C31" s="195" t="s">
        <v>229</v>
      </c>
      <c r="D31" s="159" t="s">
        <v>230</v>
      </c>
      <c r="E31" s="159" t="s">
        <v>231</v>
      </c>
      <c r="F31" s="196" t="s">
        <v>320</v>
      </c>
    </row>
    <row r="32" spans="1:6" x14ac:dyDescent="0.25">
      <c r="A32" s="159">
        <v>31</v>
      </c>
      <c r="B32" s="159" t="s">
        <v>267</v>
      </c>
      <c r="C32" s="195" t="s">
        <v>268</v>
      </c>
      <c r="D32" s="159" t="s">
        <v>269</v>
      </c>
      <c r="E32" s="159" t="s">
        <v>270</v>
      </c>
      <c r="F32" s="196" t="s">
        <v>320</v>
      </c>
    </row>
    <row r="33" spans="1:6" x14ac:dyDescent="0.25">
      <c r="A33" s="159">
        <v>32</v>
      </c>
      <c r="B33" s="159" t="s">
        <v>303</v>
      </c>
      <c r="C33" s="195" t="s">
        <v>304</v>
      </c>
      <c r="D33" s="159" t="s">
        <v>305</v>
      </c>
      <c r="E33" s="159" t="s">
        <v>306</v>
      </c>
      <c r="F33" s="196" t="s">
        <v>320</v>
      </c>
    </row>
    <row r="34" spans="1:6" x14ac:dyDescent="0.25">
      <c r="A34" s="159">
        <v>33</v>
      </c>
      <c r="B34" s="167" t="s">
        <v>240</v>
      </c>
      <c r="C34" s="168" t="s">
        <v>241</v>
      </c>
      <c r="D34" s="167" t="s">
        <v>242</v>
      </c>
      <c r="E34" s="167" t="s">
        <v>243</v>
      </c>
      <c r="F34" s="169" t="s">
        <v>323</v>
      </c>
    </row>
    <row r="35" spans="1:6" x14ac:dyDescent="0.25">
      <c r="A35" s="159">
        <v>34</v>
      </c>
      <c r="B35" s="167" t="s">
        <v>176</v>
      </c>
      <c r="C35" s="168" t="s">
        <v>177</v>
      </c>
      <c r="D35" s="167" t="s">
        <v>178</v>
      </c>
      <c r="E35" s="167" t="s">
        <v>179</v>
      </c>
      <c r="F35" s="169" t="s">
        <v>118</v>
      </c>
    </row>
    <row r="36" spans="1:6" x14ac:dyDescent="0.25">
      <c r="A36" s="159">
        <v>35</v>
      </c>
      <c r="B36" s="167" t="s">
        <v>220</v>
      </c>
      <c r="C36" s="168" t="s">
        <v>221</v>
      </c>
      <c r="D36" s="167" t="s">
        <v>222</v>
      </c>
      <c r="E36" s="167" t="s">
        <v>223</v>
      </c>
      <c r="F36" s="169" t="s">
        <v>118</v>
      </c>
    </row>
    <row r="37" spans="1:6" x14ac:dyDescent="0.25">
      <c r="A37" s="159">
        <v>36</v>
      </c>
      <c r="B37" s="167" t="s">
        <v>252</v>
      </c>
      <c r="C37" s="168" t="s">
        <v>253</v>
      </c>
      <c r="D37" s="167" t="s">
        <v>254</v>
      </c>
      <c r="E37" s="167" t="s">
        <v>255</v>
      </c>
      <c r="F37" s="169" t="s">
        <v>118</v>
      </c>
    </row>
    <row r="38" spans="1:6" x14ac:dyDescent="0.25">
      <c r="A38" s="159">
        <v>37</v>
      </c>
      <c r="B38" s="167" t="s">
        <v>275</v>
      </c>
      <c r="C38" s="168" t="s">
        <v>276</v>
      </c>
      <c r="D38" s="167" t="s">
        <v>277</v>
      </c>
      <c r="E38" s="167" t="s">
        <v>278</v>
      </c>
      <c r="F38" s="169" t="s">
        <v>118</v>
      </c>
    </row>
    <row r="39" spans="1:6" x14ac:dyDescent="0.25">
      <c r="A39" s="159">
        <v>38</v>
      </c>
      <c r="B39" s="167" t="s">
        <v>291</v>
      </c>
      <c r="C39" s="168" t="s">
        <v>292</v>
      </c>
      <c r="D39" s="167" t="s">
        <v>293</v>
      </c>
      <c r="E39" s="167" t="s">
        <v>294</v>
      </c>
      <c r="F39" s="169" t="s">
        <v>118</v>
      </c>
    </row>
    <row r="40" spans="1:6" x14ac:dyDescent="0.25">
      <c r="A40" s="159">
        <v>39</v>
      </c>
      <c r="B40" s="167" t="s">
        <v>307</v>
      </c>
      <c r="C40" s="168" t="s">
        <v>308</v>
      </c>
      <c r="D40" s="167" t="s">
        <v>309</v>
      </c>
      <c r="E40" s="167" t="s">
        <v>310</v>
      </c>
      <c r="F40" s="169" t="s">
        <v>119</v>
      </c>
    </row>
    <row r="41" spans="1:6" x14ac:dyDescent="0.25">
      <c r="A41" s="159">
        <v>40</v>
      </c>
      <c r="B41" s="167" t="s">
        <v>216</v>
      </c>
      <c r="C41" s="168" t="s">
        <v>217</v>
      </c>
      <c r="D41" s="167" t="s">
        <v>218</v>
      </c>
      <c r="E41" s="167" t="s">
        <v>219</v>
      </c>
      <c r="F41" s="169" t="s">
        <v>331</v>
      </c>
    </row>
    <row r="42" spans="1:6" x14ac:dyDescent="0.25">
      <c r="A42" s="159">
        <v>41</v>
      </c>
      <c r="B42" s="167" t="s">
        <v>287</v>
      </c>
      <c r="C42" s="168" t="s">
        <v>288</v>
      </c>
      <c r="D42" s="167" t="s">
        <v>289</v>
      </c>
      <c r="E42" s="167" t="s">
        <v>290</v>
      </c>
      <c r="F42" s="169" t="s">
        <v>330</v>
      </c>
    </row>
    <row r="43" spans="1:6" x14ac:dyDescent="0.25">
      <c r="A43" s="159">
        <v>42</v>
      </c>
      <c r="B43" s="167" t="s">
        <v>208</v>
      </c>
      <c r="C43" s="168" t="s">
        <v>209</v>
      </c>
      <c r="D43" s="167" t="s">
        <v>210</v>
      </c>
      <c r="E43" s="167" t="s">
        <v>211</v>
      </c>
      <c r="F43" s="169" t="s">
        <v>325</v>
      </c>
    </row>
    <row r="44" spans="1:6" x14ac:dyDescent="0.25">
      <c r="A44" s="159">
        <v>43</v>
      </c>
      <c r="B44" s="167" t="s">
        <v>279</v>
      </c>
      <c r="C44" s="168" t="s">
        <v>280</v>
      </c>
      <c r="D44" s="167" t="s">
        <v>281</v>
      </c>
      <c r="E44" s="167" t="s">
        <v>282</v>
      </c>
      <c r="F44" s="169" t="s">
        <v>115</v>
      </c>
    </row>
    <row r="45" spans="1:6" x14ac:dyDescent="0.25">
      <c r="A45" s="159">
        <v>44</v>
      </c>
      <c r="B45" s="169" t="s">
        <v>295</v>
      </c>
      <c r="C45" s="170" t="s">
        <v>296</v>
      </c>
      <c r="D45" s="169" t="s">
        <v>297</v>
      </c>
      <c r="E45" s="169" t="s">
        <v>298</v>
      </c>
      <c r="F45" s="169" t="s">
        <v>115</v>
      </c>
    </row>
    <row r="46" spans="1:6" x14ac:dyDescent="0.25">
      <c r="A46" s="159">
        <v>45</v>
      </c>
      <c r="B46" s="167" t="s">
        <v>315</v>
      </c>
      <c r="C46" s="168" t="s">
        <v>316</v>
      </c>
      <c r="D46" s="167" t="s">
        <v>317</v>
      </c>
      <c r="E46" s="167" t="s">
        <v>318</v>
      </c>
      <c r="F46" s="169" t="s">
        <v>115</v>
      </c>
    </row>
  </sheetData>
  <autoFilter ref="A1:F16" xr:uid="{5010B1F9-DB7F-4295-AA3F-D4F26246182E}"/>
  <sortState xmlns:xlrd2="http://schemas.microsoft.com/office/spreadsheetml/2017/richdata2" ref="B2:F46">
    <sortCondition ref="F2:F46"/>
  </sortState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O97"/>
  <sheetViews>
    <sheetView zoomScale="85" zoomScaleNormal="85" workbookViewId="0">
      <selection activeCell="O11" sqref="K2:O11"/>
    </sheetView>
  </sheetViews>
  <sheetFormatPr defaultRowHeight="12.75" x14ac:dyDescent="0.2"/>
  <cols>
    <col min="1" max="1" width="3.5703125" style="154" customWidth="1"/>
    <col min="2" max="2" width="5.140625" style="155" bestFit="1" customWidth="1"/>
    <col min="3" max="3" width="26.85546875" style="155" bestFit="1" customWidth="1"/>
    <col min="4" max="4" width="8.85546875" style="155" customWidth="1"/>
    <col min="5" max="5" width="10" style="156" customWidth="1"/>
    <col min="6" max="6" width="49" style="155" customWidth="1"/>
    <col min="7" max="7" width="12.28515625" style="155" bestFit="1" customWidth="1"/>
    <col min="8" max="8" width="10.42578125" style="157" customWidth="1"/>
    <col min="9" max="9" width="7.42578125" style="157" customWidth="1"/>
    <col min="10" max="10" width="8.85546875" style="155" customWidth="1"/>
    <col min="11" max="11" width="9.28515625" style="117" bestFit="1" customWidth="1"/>
    <col min="12" max="12" width="26.140625" style="117" bestFit="1" customWidth="1"/>
    <col min="13" max="13" width="10.7109375" style="117" bestFit="1" customWidth="1"/>
    <col min="14" max="14" width="15" style="117" bestFit="1" customWidth="1"/>
    <col min="15" max="15" width="16.5703125" style="117" customWidth="1"/>
    <col min="16" max="16384" width="9.140625" style="117"/>
  </cols>
  <sheetData>
    <row r="1" spans="1:15" ht="15.75" customHeight="1" thickBot="1" x14ac:dyDescent="0.25">
      <c r="A1" s="231" t="s">
        <v>73</v>
      </c>
      <c r="B1" s="232"/>
      <c r="C1" s="127" t="s">
        <v>85</v>
      </c>
      <c r="D1" s="127" t="s">
        <v>68</v>
      </c>
      <c r="E1" s="216" t="s">
        <v>326</v>
      </c>
      <c r="F1" s="216"/>
      <c r="G1" s="226" t="s">
        <v>74</v>
      </c>
      <c r="H1" s="226"/>
      <c r="I1" s="128" t="s">
        <v>340</v>
      </c>
      <c r="J1" s="129"/>
    </row>
    <row r="2" spans="1:15" s="126" customFormat="1" ht="26.25" thickBot="1" x14ac:dyDescent="0.3">
      <c r="A2" s="130" t="s">
        <v>66</v>
      </c>
      <c r="B2" s="131" t="s">
        <v>2</v>
      </c>
      <c r="C2" s="131" t="s">
        <v>3</v>
      </c>
      <c r="D2" s="131" t="s">
        <v>4</v>
      </c>
      <c r="E2" s="132" t="s">
        <v>67</v>
      </c>
      <c r="F2" s="131" t="s">
        <v>5</v>
      </c>
      <c r="G2" s="131" t="s">
        <v>103</v>
      </c>
      <c r="H2" s="133" t="s">
        <v>104</v>
      </c>
      <c r="I2" s="133" t="s">
        <v>70</v>
      </c>
      <c r="J2" s="134" t="s">
        <v>105</v>
      </c>
      <c r="K2" s="118" t="s">
        <v>2</v>
      </c>
      <c r="L2" s="119" t="s">
        <v>72</v>
      </c>
      <c r="M2" s="119" t="s">
        <v>71</v>
      </c>
      <c r="N2" s="119" t="s">
        <v>97</v>
      </c>
      <c r="O2" s="125" t="s">
        <v>109</v>
      </c>
    </row>
    <row r="3" spans="1:15" ht="15" customHeight="1" x14ac:dyDescent="0.2">
      <c r="A3" s="227">
        <v>1</v>
      </c>
      <c r="B3" s="135">
        <v>1</v>
      </c>
      <c r="C3" s="135" t="s">
        <v>144</v>
      </c>
      <c r="D3" s="136" t="s">
        <v>145</v>
      </c>
      <c r="E3" s="137" t="s">
        <v>146</v>
      </c>
      <c r="F3" s="135" t="s">
        <v>147</v>
      </c>
      <c r="G3" s="135" t="s">
        <v>332</v>
      </c>
      <c r="H3" s="220" t="s">
        <v>137</v>
      </c>
      <c r="I3" s="223" t="s">
        <v>127</v>
      </c>
      <c r="J3" s="138"/>
      <c r="K3" s="120">
        <v>1</v>
      </c>
      <c r="L3" s="159" t="s">
        <v>130</v>
      </c>
      <c r="M3" s="159" t="s">
        <v>120</v>
      </c>
      <c r="N3" s="188" t="s">
        <v>333</v>
      </c>
      <c r="O3" s="190">
        <v>45748</v>
      </c>
    </row>
    <row r="4" spans="1:15" ht="15" customHeight="1" x14ac:dyDescent="0.2">
      <c r="A4" s="228"/>
      <c r="B4" s="103">
        <v>2</v>
      </c>
      <c r="C4" s="103" t="s">
        <v>172</v>
      </c>
      <c r="D4" s="139" t="s">
        <v>173</v>
      </c>
      <c r="E4" s="104" t="s">
        <v>174</v>
      </c>
      <c r="F4" s="103" t="s">
        <v>175</v>
      </c>
      <c r="G4" s="103" t="s">
        <v>332</v>
      </c>
      <c r="H4" s="221"/>
      <c r="I4" s="224"/>
      <c r="J4" s="140"/>
      <c r="K4" s="120">
        <v>2</v>
      </c>
      <c r="L4" s="159" t="s">
        <v>131</v>
      </c>
      <c r="M4" s="159" t="s">
        <v>121</v>
      </c>
      <c r="N4" s="188" t="s">
        <v>334</v>
      </c>
      <c r="O4" s="190">
        <v>45926</v>
      </c>
    </row>
    <row r="5" spans="1:15" ht="15" customHeight="1" x14ac:dyDescent="0.2">
      <c r="A5" s="228"/>
      <c r="B5" s="103">
        <v>3</v>
      </c>
      <c r="C5" s="103" t="s">
        <v>279</v>
      </c>
      <c r="D5" s="139" t="s">
        <v>280</v>
      </c>
      <c r="E5" s="104" t="s">
        <v>281</v>
      </c>
      <c r="F5" s="103" t="s">
        <v>282</v>
      </c>
      <c r="G5" s="103" t="s">
        <v>115</v>
      </c>
      <c r="H5" s="221"/>
      <c r="I5" s="224"/>
      <c r="J5" s="140"/>
      <c r="K5" s="120">
        <v>3</v>
      </c>
      <c r="L5" s="159" t="s">
        <v>132</v>
      </c>
      <c r="M5" s="159" t="s">
        <v>122</v>
      </c>
      <c r="N5" s="188" t="s">
        <v>335</v>
      </c>
      <c r="O5" s="190">
        <v>46109</v>
      </c>
    </row>
    <row r="6" spans="1:15" ht="15" customHeight="1" x14ac:dyDescent="0.2">
      <c r="A6" s="228"/>
      <c r="B6" s="103">
        <v>4</v>
      </c>
      <c r="C6" s="103" t="s">
        <v>295</v>
      </c>
      <c r="D6" s="139" t="s">
        <v>296</v>
      </c>
      <c r="E6" s="104" t="s">
        <v>297</v>
      </c>
      <c r="F6" s="103" t="s">
        <v>298</v>
      </c>
      <c r="G6" s="103" t="s">
        <v>115</v>
      </c>
      <c r="H6" s="221"/>
      <c r="I6" s="224"/>
      <c r="J6" s="140"/>
      <c r="K6" s="120">
        <v>4</v>
      </c>
      <c r="L6" s="159" t="s">
        <v>133</v>
      </c>
      <c r="M6" s="159" t="s">
        <v>123</v>
      </c>
      <c r="N6" s="188" t="s">
        <v>336</v>
      </c>
      <c r="O6" s="190">
        <v>46147</v>
      </c>
    </row>
    <row r="7" spans="1:15" ht="15" customHeight="1" thickBot="1" x14ac:dyDescent="0.25">
      <c r="A7" s="229"/>
      <c r="B7" s="141">
        <v>5</v>
      </c>
      <c r="C7" s="141" t="s">
        <v>315</v>
      </c>
      <c r="D7" s="142" t="s">
        <v>316</v>
      </c>
      <c r="E7" s="143" t="s">
        <v>317</v>
      </c>
      <c r="F7" s="141" t="s">
        <v>318</v>
      </c>
      <c r="G7" s="141" t="s">
        <v>115</v>
      </c>
      <c r="H7" s="222"/>
      <c r="I7" s="225"/>
      <c r="J7" s="144"/>
      <c r="K7" s="120">
        <v>5</v>
      </c>
      <c r="L7" s="159" t="s">
        <v>134</v>
      </c>
      <c r="M7" s="159" t="s">
        <v>124</v>
      </c>
      <c r="N7" s="188" t="s">
        <v>337</v>
      </c>
      <c r="O7" s="190">
        <v>46114</v>
      </c>
    </row>
    <row r="8" spans="1:15" ht="15" customHeight="1" x14ac:dyDescent="0.2">
      <c r="A8" s="227">
        <v>2</v>
      </c>
      <c r="B8" s="135">
        <v>1</v>
      </c>
      <c r="C8" s="135" t="s">
        <v>256</v>
      </c>
      <c r="D8" s="136" t="s">
        <v>257</v>
      </c>
      <c r="E8" s="137" t="s">
        <v>258</v>
      </c>
      <c r="F8" s="135" t="s">
        <v>259</v>
      </c>
      <c r="G8" s="135" t="s">
        <v>328</v>
      </c>
      <c r="H8" s="220" t="s">
        <v>138</v>
      </c>
      <c r="I8" s="223" t="s">
        <v>128</v>
      </c>
      <c r="J8" s="138"/>
      <c r="K8" s="120">
        <v>6</v>
      </c>
      <c r="L8" s="159" t="s">
        <v>135</v>
      </c>
      <c r="M8" s="159" t="s">
        <v>125</v>
      </c>
      <c r="N8" s="189" t="s">
        <v>333</v>
      </c>
      <c r="O8" s="191">
        <v>45723</v>
      </c>
    </row>
    <row r="9" spans="1:15" ht="15" customHeight="1" x14ac:dyDescent="0.2">
      <c r="A9" s="228"/>
      <c r="B9" s="103">
        <v>2</v>
      </c>
      <c r="C9" s="103" t="s">
        <v>140</v>
      </c>
      <c r="D9" s="139" t="s">
        <v>141</v>
      </c>
      <c r="E9" s="104" t="s">
        <v>142</v>
      </c>
      <c r="F9" s="103" t="s">
        <v>143</v>
      </c>
      <c r="G9" s="103" t="s">
        <v>319</v>
      </c>
      <c r="H9" s="221"/>
      <c r="I9" s="224"/>
      <c r="J9" s="140"/>
      <c r="K9" s="120">
        <v>7</v>
      </c>
      <c r="L9" s="159" t="s">
        <v>136</v>
      </c>
      <c r="M9" s="159" t="s">
        <v>126</v>
      </c>
      <c r="N9" s="189"/>
      <c r="O9" s="192" t="s">
        <v>129</v>
      </c>
    </row>
    <row r="10" spans="1:15" ht="15" customHeight="1" x14ac:dyDescent="0.2">
      <c r="A10" s="228"/>
      <c r="B10" s="103">
        <v>3</v>
      </c>
      <c r="C10" s="103" t="s">
        <v>164</v>
      </c>
      <c r="D10" s="139" t="s">
        <v>165</v>
      </c>
      <c r="E10" s="104" t="s">
        <v>166</v>
      </c>
      <c r="F10" s="103" t="s">
        <v>167</v>
      </c>
      <c r="G10" s="103" t="s">
        <v>319</v>
      </c>
      <c r="H10" s="221"/>
      <c r="I10" s="224"/>
      <c r="J10" s="140"/>
      <c r="K10" s="120">
        <v>8</v>
      </c>
      <c r="L10" s="159" t="s">
        <v>137</v>
      </c>
      <c r="M10" s="159" t="s">
        <v>127</v>
      </c>
      <c r="N10" s="188" t="s">
        <v>339</v>
      </c>
      <c r="O10" s="193">
        <v>46095</v>
      </c>
    </row>
    <row r="11" spans="1:15" ht="15" customHeight="1" x14ac:dyDescent="0.2">
      <c r="A11" s="228"/>
      <c r="B11" s="103">
        <v>4</v>
      </c>
      <c r="C11" s="103" t="s">
        <v>148</v>
      </c>
      <c r="D11" s="139" t="s">
        <v>149</v>
      </c>
      <c r="E11" s="104" t="s">
        <v>150</v>
      </c>
      <c r="F11" s="103" t="s">
        <v>151</v>
      </c>
      <c r="G11" s="103" t="s">
        <v>319</v>
      </c>
      <c r="H11" s="221"/>
      <c r="I11" s="224"/>
      <c r="J11" s="140"/>
      <c r="K11" s="120">
        <v>9</v>
      </c>
      <c r="L11" s="159" t="s">
        <v>138</v>
      </c>
      <c r="M11" s="159" t="s">
        <v>128</v>
      </c>
      <c r="N11" s="189" t="s">
        <v>338</v>
      </c>
      <c r="O11" s="190">
        <v>46120</v>
      </c>
    </row>
    <row r="12" spans="1:15" ht="15" customHeight="1" thickBot="1" x14ac:dyDescent="0.25">
      <c r="A12" s="229"/>
      <c r="B12" s="141">
        <v>5</v>
      </c>
      <c r="C12" s="141" t="s">
        <v>283</v>
      </c>
      <c r="D12" s="142" t="s">
        <v>284</v>
      </c>
      <c r="E12" s="143" t="s">
        <v>285</v>
      </c>
      <c r="F12" s="141" t="s">
        <v>286</v>
      </c>
      <c r="G12" s="141" t="s">
        <v>319</v>
      </c>
      <c r="H12" s="222"/>
      <c r="I12" s="225"/>
      <c r="J12" s="144"/>
      <c r="K12" s="120">
        <v>10</v>
      </c>
      <c r="L12" s="159"/>
      <c r="M12" s="159"/>
      <c r="N12" s="162"/>
      <c r="O12" s="124"/>
    </row>
    <row r="13" spans="1:15" ht="15" customHeight="1" x14ac:dyDescent="0.2">
      <c r="A13" s="227">
        <v>3</v>
      </c>
      <c r="B13" s="135">
        <v>1</v>
      </c>
      <c r="C13" s="135" t="s">
        <v>200</v>
      </c>
      <c r="D13" s="136" t="s">
        <v>201</v>
      </c>
      <c r="E13" s="137" t="s">
        <v>202</v>
      </c>
      <c r="F13" s="135" t="s">
        <v>203</v>
      </c>
      <c r="G13" s="135" t="s">
        <v>117</v>
      </c>
      <c r="H13" s="220" t="s">
        <v>131</v>
      </c>
      <c r="I13" s="223" t="s">
        <v>121</v>
      </c>
      <c r="J13" s="138"/>
      <c r="K13" s="120">
        <v>11</v>
      </c>
      <c r="L13" s="159"/>
      <c r="M13" s="159"/>
      <c r="N13" s="162"/>
      <c r="O13" s="124"/>
    </row>
    <row r="14" spans="1:15" ht="15" customHeight="1" x14ac:dyDescent="0.2">
      <c r="A14" s="228"/>
      <c r="B14" s="103">
        <v>2</v>
      </c>
      <c r="C14" s="103" t="s">
        <v>204</v>
      </c>
      <c r="D14" s="139" t="s">
        <v>205</v>
      </c>
      <c r="E14" s="104" t="s">
        <v>206</v>
      </c>
      <c r="F14" s="103" t="s">
        <v>207</v>
      </c>
      <c r="G14" s="103" t="s">
        <v>117</v>
      </c>
      <c r="H14" s="221"/>
      <c r="I14" s="224"/>
      <c r="J14" s="140"/>
      <c r="K14" s="120">
        <v>12</v>
      </c>
      <c r="L14" s="159"/>
      <c r="M14" s="159"/>
      <c r="N14" s="162"/>
      <c r="O14" s="124"/>
    </row>
    <row r="15" spans="1:15" ht="15" customHeight="1" x14ac:dyDescent="0.2">
      <c r="A15" s="228"/>
      <c r="B15" s="103">
        <v>3</v>
      </c>
      <c r="C15" s="103" t="s">
        <v>248</v>
      </c>
      <c r="D15" s="139" t="s">
        <v>249</v>
      </c>
      <c r="E15" s="104" t="s">
        <v>250</v>
      </c>
      <c r="F15" s="103" t="s">
        <v>251</v>
      </c>
      <c r="G15" s="103" t="s">
        <v>117</v>
      </c>
      <c r="H15" s="221"/>
      <c r="I15" s="224"/>
      <c r="J15" s="140"/>
      <c r="K15" s="120">
        <v>13</v>
      </c>
      <c r="L15" s="159"/>
      <c r="M15" s="159"/>
      <c r="N15" s="162"/>
      <c r="O15" s="124"/>
    </row>
    <row r="16" spans="1:15" ht="15" customHeight="1" x14ac:dyDescent="0.2">
      <c r="A16" s="228"/>
      <c r="B16" s="103">
        <v>4</v>
      </c>
      <c r="C16" s="103" t="s">
        <v>260</v>
      </c>
      <c r="D16" s="139" t="s">
        <v>261</v>
      </c>
      <c r="E16" s="104" t="s">
        <v>262</v>
      </c>
      <c r="F16" s="103" t="s">
        <v>263</v>
      </c>
      <c r="G16" s="103" t="s">
        <v>117</v>
      </c>
      <c r="H16" s="221"/>
      <c r="I16" s="224"/>
      <c r="J16" s="140"/>
      <c r="K16" s="120">
        <v>14</v>
      </c>
      <c r="L16" s="159"/>
      <c r="M16" s="159"/>
      <c r="N16" s="162"/>
      <c r="O16" s="124"/>
    </row>
    <row r="17" spans="1:15" ht="15" customHeight="1" thickBot="1" x14ac:dyDescent="0.25">
      <c r="A17" s="229"/>
      <c r="B17" s="141">
        <v>5</v>
      </c>
      <c r="C17" s="141" t="s">
        <v>208</v>
      </c>
      <c r="D17" s="142" t="s">
        <v>209</v>
      </c>
      <c r="E17" s="143" t="s">
        <v>210</v>
      </c>
      <c r="F17" s="141" t="s">
        <v>211</v>
      </c>
      <c r="G17" s="141" t="s">
        <v>325</v>
      </c>
      <c r="H17" s="222"/>
      <c r="I17" s="225"/>
      <c r="J17" s="144"/>
      <c r="K17" s="120">
        <v>15</v>
      </c>
      <c r="L17" s="159"/>
      <c r="M17" s="159"/>
      <c r="N17" s="162"/>
      <c r="O17" s="124"/>
    </row>
    <row r="18" spans="1:15" ht="15" customHeight="1" x14ac:dyDescent="0.2">
      <c r="A18" s="227">
        <v>4</v>
      </c>
      <c r="B18" s="135">
        <v>1</v>
      </c>
      <c r="C18" s="135" t="s">
        <v>232</v>
      </c>
      <c r="D18" s="136" t="s">
        <v>233</v>
      </c>
      <c r="E18" s="137" t="s">
        <v>234</v>
      </c>
      <c r="F18" s="135" t="s">
        <v>235</v>
      </c>
      <c r="G18" s="135" t="s">
        <v>327</v>
      </c>
      <c r="H18" s="220" t="s">
        <v>133</v>
      </c>
      <c r="I18" s="217" t="s">
        <v>123</v>
      </c>
      <c r="J18" s="138"/>
      <c r="K18" s="120">
        <v>16</v>
      </c>
      <c r="L18" s="159"/>
      <c r="M18" s="159"/>
      <c r="N18" s="162"/>
      <c r="O18" s="124"/>
    </row>
    <row r="19" spans="1:15" ht="15" customHeight="1" x14ac:dyDescent="0.2">
      <c r="A19" s="228"/>
      <c r="B19" s="103">
        <v>2</v>
      </c>
      <c r="C19" s="103" t="s">
        <v>244</v>
      </c>
      <c r="D19" s="139" t="s">
        <v>245</v>
      </c>
      <c r="E19" s="104" t="s">
        <v>246</v>
      </c>
      <c r="F19" s="103" t="s">
        <v>247</v>
      </c>
      <c r="G19" s="103" t="s">
        <v>329</v>
      </c>
      <c r="H19" s="221"/>
      <c r="I19" s="218"/>
      <c r="J19" s="140"/>
      <c r="K19" s="120">
        <v>17</v>
      </c>
      <c r="L19" s="159"/>
      <c r="M19" s="159"/>
      <c r="N19" s="162"/>
      <c r="O19" s="124"/>
    </row>
    <row r="20" spans="1:15" ht="15" customHeight="1" x14ac:dyDescent="0.2">
      <c r="A20" s="228"/>
      <c r="B20" s="103">
        <v>3</v>
      </c>
      <c r="C20" s="103" t="s">
        <v>160</v>
      </c>
      <c r="D20" s="139" t="s">
        <v>161</v>
      </c>
      <c r="E20" s="104" t="s">
        <v>162</v>
      </c>
      <c r="F20" s="103" t="s">
        <v>163</v>
      </c>
      <c r="G20" s="103" t="s">
        <v>114</v>
      </c>
      <c r="H20" s="221"/>
      <c r="I20" s="218"/>
      <c r="J20" s="140"/>
      <c r="K20" s="120">
        <v>18</v>
      </c>
      <c r="L20" s="159"/>
      <c r="M20" s="159"/>
      <c r="N20" s="162"/>
      <c r="O20" s="124"/>
    </row>
    <row r="21" spans="1:15" ht="15" customHeight="1" x14ac:dyDescent="0.2">
      <c r="A21" s="228"/>
      <c r="B21" s="103">
        <v>4</v>
      </c>
      <c r="C21" s="103" t="s">
        <v>168</v>
      </c>
      <c r="D21" s="139" t="s">
        <v>169</v>
      </c>
      <c r="E21" s="104" t="s">
        <v>170</v>
      </c>
      <c r="F21" s="103" t="s">
        <v>171</v>
      </c>
      <c r="G21" s="103" t="s">
        <v>114</v>
      </c>
      <c r="H21" s="221"/>
      <c r="I21" s="218"/>
      <c r="J21" s="140"/>
      <c r="K21" s="120">
        <v>19</v>
      </c>
      <c r="L21" s="159"/>
      <c r="M21" s="159"/>
      <c r="N21" s="162"/>
      <c r="O21" s="124"/>
    </row>
    <row r="22" spans="1:15" ht="15" customHeight="1" thickBot="1" x14ac:dyDescent="0.25">
      <c r="A22" s="229"/>
      <c r="B22" s="141">
        <v>5</v>
      </c>
      <c r="C22" s="141" t="s">
        <v>287</v>
      </c>
      <c r="D22" s="142" t="s">
        <v>288</v>
      </c>
      <c r="E22" s="143" t="s">
        <v>289</v>
      </c>
      <c r="F22" s="141" t="s">
        <v>290</v>
      </c>
      <c r="G22" s="141" t="s">
        <v>330</v>
      </c>
      <c r="H22" s="222"/>
      <c r="I22" s="219"/>
      <c r="J22" s="144"/>
    </row>
    <row r="23" spans="1:15" ht="15" customHeight="1" x14ac:dyDescent="0.2">
      <c r="A23" s="227">
        <v>5</v>
      </c>
      <c r="B23" s="135">
        <v>1</v>
      </c>
      <c r="C23" s="135" t="s">
        <v>307</v>
      </c>
      <c r="D23" s="136" t="s">
        <v>308</v>
      </c>
      <c r="E23" s="137" t="s">
        <v>309</v>
      </c>
      <c r="F23" s="135" t="s">
        <v>310</v>
      </c>
      <c r="G23" s="135" t="s">
        <v>119</v>
      </c>
      <c r="H23" s="220" t="s">
        <v>136</v>
      </c>
      <c r="I23" s="217" t="s">
        <v>126</v>
      </c>
      <c r="J23" s="138"/>
    </row>
    <row r="24" spans="1:15" ht="15" customHeight="1" x14ac:dyDescent="0.2">
      <c r="A24" s="228"/>
      <c r="B24" s="103">
        <v>2</v>
      </c>
      <c r="C24" s="103" t="s">
        <v>236</v>
      </c>
      <c r="D24" s="139" t="s">
        <v>237</v>
      </c>
      <c r="E24" s="104" t="s">
        <v>238</v>
      </c>
      <c r="F24" s="103" t="s">
        <v>239</v>
      </c>
      <c r="G24" s="103" t="s">
        <v>324</v>
      </c>
      <c r="H24" s="221"/>
      <c r="I24" s="218"/>
      <c r="J24" s="140"/>
    </row>
    <row r="25" spans="1:15" ht="15" customHeight="1" x14ac:dyDescent="0.2">
      <c r="A25" s="228"/>
      <c r="B25" s="103">
        <v>3</v>
      </c>
      <c r="C25" s="103" t="s">
        <v>152</v>
      </c>
      <c r="D25" s="139" t="s">
        <v>153</v>
      </c>
      <c r="E25" s="104" t="s">
        <v>154</v>
      </c>
      <c r="F25" s="103" t="s">
        <v>155</v>
      </c>
      <c r="G25" s="103" t="s">
        <v>321</v>
      </c>
      <c r="H25" s="221"/>
      <c r="I25" s="218"/>
      <c r="J25" s="140"/>
    </row>
    <row r="26" spans="1:15" ht="15" customHeight="1" x14ac:dyDescent="0.2">
      <c r="A26" s="228"/>
      <c r="B26" s="103">
        <v>4</v>
      </c>
      <c r="C26" s="103" t="s">
        <v>196</v>
      </c>
      <c r="D26" s="139" t="s">
        <v>197</v>
      </c>
      <c r="E26" s="104" t="s">
        <v>198</v>
      </c>
      <c r="F26" s="103" t="s">
        <v>199</v>
      </c>
      <c r="G26" s="103" t="s">
        <v>321</v>
      </c>
      <c r="H26" s="221"/>
      <c r="I26" s="218"/>
      <c r="J26" s="140"/>
    </row>
    <row r="27" spans="1:15" ht="15" customHeight="1" thickBot="1" x14ac:dyDescent="0.25">
      <c r="A27" s="229"/>
      <c r="B27" s="141">
        <v>5</v>
      </c>
      <c r="C27" s="141" t="s">
        <v>299</v>
      </c>
      <c r="D27" s="142" t="s">
        <v>300</v>
      </c>
      <c r="E27" s="143" t="s">
        <v>301</v>
      </c>
      <c r="F27" s="141" t="s">
        <v>302</v>
      </c>
      <c r="G27" s="141" t="s">
        <v>321</v>
      </c>
      <c r="H27" s="222"/>
      <c r="I27" s="219"/>
      <c r="J27" s="144"/>
    </row>
    <row r="28" spans="1:15" ht="15" customHeight="1" x14ac:dyDescent="0.2">
      <c r="A28" s="227">
        <v>6</v>
      </c>
      <c r="B28" s="135">
        <v>1</v>
      </c>
      <c r="C28" s="135" t="s">
        <v>176</v>
      </c>
      <c r="D28" s="136" t="s">
        <v>177</v>
      </c>
      <c r="E28" s="137" t="s">
        <v>178</v>
      </c>
      <c r="F28" s="135" t="s">
        <v>179</v>
      </c>
      <c r="G28" s="135" t="s">
        <v>118</v>
      </c>
      <c r="H28" s="220" t="s">
        <v>132</v>
      </c>
      <c r="I28" s="223" t="s">
        <v>122</v>
      </c>
      <c r="J28" s="138"/>
    </row>
    <row r="29" spans="1:15" ht="15" customHeight="1" x14ac:dyDescent="0.2">
      <c r="A29" s="228"/>
      <c r="B29" s="103">
        <v>2</v>
      </c>
      <c r="C29" s="103" t="s">
        <v>220</v>
      </c>
      <c r="D29" s="139" t="s">
        <v>221</v>
      </c>
      <c r="E29" s="104" t="s">
        <v>222</v>
      </c>
      <c r="F29" s="103" t="s">
        <v>223</v>
      </c>
      <c r="G29" s="103" t="s">
        <v>118</v>
      </c>
      <c r="H29" s="221"/>
      <c r="I29" s="224"/>
      <c r="J29" s="140"/>
    </row>
    <row r="30" spans="1:15" ht="15" customHeight="1" x14ac:dyDescent="0.2">
      <c r="A30" s="228"/>
      <c r="B30" s="103">
        <v>3</v>
      </c>
      <c r="C30" s="103" t="s">
        <v>252</v>
      </c>
      <c r="D30" s="139" t="s">
        <v>253</v>
      </c>
      <c r="E30" s="104" t="s">
        <v>254</v>
      </c>
      <c r="F30" s="103" t="s">
        <v>255</v>
      </c>
      <c r="G30" s="103" t="s">
        <v>118</v>
      </c>
      <c r="H30" s="221"/>
      <c r="I30" s="224"/>
      <c r="J30" s="140"/>
    </row>
    <row r="31" spans="1:15" ht="15" customHeight="1" x14ac:dyDescent="0.2">
      <c r="A31" s="228"/>
      <c r="B31" s="103">
        <v>4</v>
      </c>
      <c r="C31" s="103" t="s">
        <v>275</v>
      </c>
      <c r="D31" s="139" t="s">
        <v>276</v>
      </c>
      <c r="E31" s="104" t="s">
        <v>277</v>
      </c>
      <c r="F31" s="103" t="s">
        <v>278</v>
      </c>
      <c r="G31" s="103" t="s">
        <v>118</v>
      </c>
      <c r="H31" s="221"/>
      <c r="I31" s="224"/>
      <c r="J31" s="140"/>
    </row>
    <row r="32" spans="1:15" ht="15" customHeight="1" thickBot="1" x14ac:dyDescent="0.25">
      <c r="A32" s="229"/>
      <c r="B32" s="141">
        <v>5</v>
      </c>
      <c r="C32" s="141" t="s">
        <v>291</v>
      </c>
      <c r="D32" s="142" t="s">
        <v>292</v>
      </c>
      <c r="E32" s="143" t="s">
        <v>293</v>
      </c>
      <c r="F32" s="141" t="s">
        <v>294</v>
      </c>
      <c r="G32" s="141" t="s">
        <v>118</v>
      </c>
      <c r="H32" s="222"/>
      <c r="I32" s="225"/>
      <c r="J32" s="144"/>
    </row>
    <row r="33" spans="1:10" ht="15" customHeight="1" x14ac:dyDescent="0.2">
      <c r="A33" s="227">
        <v>7</v>
      </c>
      <c r="B33" s="135">
        <v>1</v>
      </c>
      <c r="C33" s="135" t="s">
        <v>180</v>
      </c>
      <c r="D33" s="136" t="s">
        <v>181</v>
      </c>
      <c r="E33" s="137" t="s">
        <v>182</v>
      </c>
      <c r="F33" s="135" t="s">
        <v>183</v>
      </c>
      <c r="G33" s="135" t="s">
        <v>113</v>
      </c>
      <c r="H33" s="220" t="s">
        <v>130</v>
      </c>
      <c r="I33" s="217" t="s">
        <v>120</v>
      </c>
      <c r="J33" s="138"/>
    </row>
    <row r="34" spans="1:10" ht="15" customHeight="1" x14ac:dyDescent="0.2">
      <c r="A34" s="228"/>
      <c r="B34" s="103">
        <v>2</v>
      </c>
      <c r="C34" s="103" t="s">
        <v>184</v>
      </c>
      <c r="D34" s="139" t="s">
        <v>185</v>
      </c>
      <c r="E34" s="104" t="s">
        <v>186</v>
      </c>
      <c r="F34" s="103" t="s">
        <v>187</v>
      </c>
      <c r="G34" s="103" t="s">
        <v>322</v>
      </c>
      <c r="H34" s="221"/>
      <c r="I34" s="218"/>
      <c r="J34" s="140"/>
    </row>
    <row r="35" spans="1:10" ht="15" customHeight="1" x14ac:dyDescent="0.2">
      <c r="A35" s="228"/>
      <c r="B35" s="103">
        <v>3</v>
      </c>
      <c r="C35" s="103" t="s">
        <v>240</v>
      </c>
      <c r="D35" s="139" t="s">
        <v>241</v>
      </c>
      <c r="E35" s="104" t="s">
        <v>242</v>
      </c>
      <c r="F35" s="103" t="s">
        <v>243</v>
      </c>
      <c r="G35" s="103" t="s">
        <v>323</v>
      </c>
      <c r="H35" s="221"/>
      <c r="I35" s="218"/>
      <c r="J35" s="140"/>
    </row>
    <row r="36" spans="1:10" ht="15" customHeight="1" x14ac:dyDescent="0.2">
      <c r="A36" s="228"/>
      <c r="B36" s="103">
        <v>4</v>
      </c>
      <c r="C36" s="103" t="s">
        <v>216</v>
      </c>
      <c r="D36" s="139" t="s">
        <v>217</v>
      </c>
      <c r="E36" s="104" t="s">
        <v>218</v>
      </c>
      <c r="F36" s="103" t="s">
        <v>219</v>
      </c>
      <c r="G36" s="103" t="s">
        <v>331</v>
      </c>
      <c r="H36" s="221"/>
      <c r="I36" s="218"/>
      <c r="J36" s="140"/>
    </row>
    <row r="37" spans="1:10" ht="15" customHeight="1" thickBot="1" x14ac:dyDescent="0.25">
      <c r="A37" s="229"/>
      <c r="B37" s="141">
        <v>5</v>
      </c>
      <c r="C37" s="141" t="s">
        <v>192</v>
      </c>
      <c r="D37" s="142" t="s">
        <v>193</v>
      </c>
      <c r="E37" s="143" t="s">
        <v>194</v>
      </c>
      <c r="F37" s="141" t="s">
        <v>195</v>
      </c>
      <c r="G37" s="141" t="s">
        <v>116</v>
      </c>
      <c r="H37" s="222"/>
      <c r="I37" s="219"/>
      <c r="J37" s="144"/>
    </row>
    <row r="38" spans="1:10" ht="15" customHeight="1" x14ac:dyDescent="0.2">
      <c r="A38" s="227">
        <v>8</v>
      </c>
      <c r="B38" s="135">
        <v>1</v>
      </c>
      <c r="C38" s="135" t="s">
        <v>212</v>
      </c>
      <c r="D38" s="136" t="s">
        <v>213</v>
      </c>
      <c r="E38" s="137" t="s">
        <v>214</v>
      </c>
      <c r="F38" s="135" t="s">
        <v>215</v>
      </c>
      <c r="G38" s="135" t="s">
        <v>116</v>
      </c>
      <c r="H38" s="220" t="s">
        <v>135</v>
      </c>
      <c r="I38" s="217" t="s">
        <v>125</v>
      </c>
      <c r="J38" s="138"/>
    </row>
    <row r="39" spans="1:10" ht="15" customHeight="1" x14ac:dyDescent="0.2">
      <c r="A39" s="228"/>
      <c r="B39" s="103">
        <v>2</v>
      </c>
      <c r="C39" s="103" t="s">
        <v>224</v>
      </c>
      <c r="D39" s="139" t="s">
        <v>225</v>
      </c>
      <c r="E39" s="104" t="s">
        <v>226</v>
      </c>
      <c r="F39" s="103" t="s">
        <v>227</v>
      </c>
      <c r="G39" s="103" t="s">
        <v>116</v>
      </c>
      <c r="H39" s="221"/>
      <c r="I39" s="218"/>
      <c r="J39" s="140"/>
    </row>
    <row r="40" spans="1:10" ht="15" customHeight="1" x14ac:dyDescent="0.2">
      <c r="A40" s="228"/>
      <c r="B40" s="103">
        <v>3</v>
      </c>
      <c r="C40" s="103" t="s">
        <v>264</v>
      </c>
      <c r="D40" s="139" t="s">
        <v>265</v>
      </c>
      <c r="E40" s="104" t="s">
        <v>266</v>
      </c>
      <c r="F40" s="103" t="s">
        <v>215</v>
      </c>
      <c r="G40" s="103" t="s">
        <v>116</v>
      </c>
      <c r="H40" s="221"/>
      <c r="I40" s="218"/>
      <c r="J40" s="140"/>
    </row>
    <row r="41" spans="1:10" ht="15" customHeight="1" x14ac:dyDescent="0.2">
      <c r="A41" s="228"/>
      <c r="B41" s="103">
        <v>4</v>
      </c>
      <c r="C41" s="103" t="s">
        <v>271</v>
      </c>
      <c r="D41" s="139" t="s">
        <v>272</v>
      </c>
      <c r="E41" s="104" t="s">
        <v>273</v>
      </c>
      <c r="F41" s="103" t="s">
        <v>274</v>
      </c>
      <c r="G41" s="103" t="s">
        <v>116</v>
      </c>
      <c r="H41" s="221"/>
      <c r="I41" s="218"/>
      <c r="J41" s="140"/>
    </row>
    <row r="42" spans="1:10" ht="15" customHeight="1" thickBot="1" x14ac:dyDescent="0.25">
      <c r="A42" s="229"/>
      <c r="B42" s="141">
        <v>5</v>
      </c>
      <c r="C42" s="141" t="s">
        <v>311</v>
      </c>
      <c r="D42" s="142" t="s">
        <v>312</v>
      </c>
      <c r="E42" s="143" t="s">
        <v>313</v>
      </c>
      <c r="F42" s="141" t="s">
        <v>314</v>
      </c>
      <c r="G42" s="141" t="s">
        <v>116</v>
      </c>
      <c r="H42" s="222"/>
      <c r="I42" s="219"/>
      <c r="J42" s="144"/>
    </row>
    <row r="43" spans="1:10" ht="15" customHeight="1" x14ac:dyDescent="0.2">
      <c r="A43" s="227">
        <v>9</v>
      </c>
      <c r="B43" s="135">
        <v>1</v>
      </c>
      <c r="C43" s="135" t="s">
        <v>156</v>
      </c>
      <c r="D43" s="136" t="s">
        <v>157</v>
      </c>
      <c r="E43" s="137" t="s">
        <v>158</v>
      </c>
      <c r="F43" s="135" t="s">
        <v>159</v>
      </c>
      <c r="G43" s="135" t="s">
        <v>320</v>
      </c>
      <c r="H43" s="220" t="s">
        <v>134</v>
      </c>
      <c r="I43" s="217" t="s">
        <v>124</v>
      </c>
      <c r="J43" s="138"/>
    </row>
    <row r="44" spans="1:10" ht="15" customHeight="1" x14ac:dyDescent="0.2">
      <c r="A44" s="228"/>
      <c r="B44" s="103">
        <v>2</v>
      </c>
      <c r="C44" s="103" t="s">
        <v>188</v>
      </c>
      <c r="D44" s="139" t="s">
        <v>189</v>
      </c>
      <c r="E44" s="104" t="s">
        <v>190</v>
      </c>
      <c r="F44" s="103" t="s">
        <v>191</v>
      </c>
      <c r="G44" s="103" t="s">
        <v>320</v>
      </c>
      <c r="H44" s="221"/>
      <c r="I44" s="218"/>
      <c r="J44" s="140"/>
    </row>
    <row r="45" spans="1:10" ht="15" customHeight="1" x14ac:dyDescent="0.2">
      <c r="A45" s="228"/>
      <c r="B45" s="103">
        <v>3</v>
      </c>
      <c r="C45" s="103" t="s">
        <v>228</v>
      </c>
      <c r="D45" s="139" t="s">
        <v>229</v>
      </c>
      <c r="E45" s="104" t="s">
        <v>230</v>
      </c>
      <c r="F45" s="103" t="s">
        <v>231</v>
      </c>
      <c r="G45" s="103" t="s">
        <v>320</v>
      </c>
      <c r="H45" s="221"/>
      <c r="I45" s="218"/>
      <c r="J45" s="140"/>
    </row>
    <row r="46" spans="1:10" ht="15" customHeight="1" x14ac:dyDescent="0.2">
      <c r="A46" s="228"/>
      <c r="B46" s="103">
        <v>4</v>
      </c>
      <c r="C46" s="103" t="s">
        <v>267</v>
      </c>
      <c r="D46" s="139" t="s">
        <v>268</v>
      </c>
      <c r="E46" s="104" t="s">
        <v>269</v>
      </c>
      <c r="F46" s="103" t="s">
        <v>270</v>
      </c>
      <c r="G46" s="103" t="s">
        <v>320</v>
      </c>
      <c r="H46" s="221"/>
      <c r="I46" s="218"/>
      <c r="J46" s="140"/>
    </row>
    <row r="47" spans="1:10" ht="15" customHeight="1" thickBot="1" x14ac:dyDescent="0.25">
      <c r="A47" s="229"/>
      <c r="B47" s="141">
        <v>5</v>
      </c>
      <c r="C47" s="141" t="s">
        <v>303</v>
      </c>
      <c r="D47" s="142" t="s">
        <v>304</v>
      </c>
      <c r="E47" s="143" t="s">
        <v>305</v>
      </c>
      <c r="F47" s="141" t="s">
        <v>306</v>
      </c>
      <c r="G47" s="141" t="s">
        <v>320</v>
      </c>
      <c r="H47" s="222"/>
      <c r="I47" s="219"/>
      <c r="J47" s="144"/>
    </row>
    <row r="48" spans="1:10" ht="15" customHeight="1" x14ac:dyDescent="0.2">
      <c r="A48" s="227">
        <v>10</v>
      </c>
      <c r="B48" s="135">
        <v>1</v>
      </c>
      <c r="C48" s="135"/>
      <c r="D48" s="136"/>
      <c r="E48" s="137"/>
      <c r="F48" s="135"/>
      <c r="G48" s="135"/>
      <c r="H48" s="217"/>
      <c r="I48" s="217"/>
      <c r="J48" s="138"/>
    </row>
    <row r="49" spans="1:10" ht="15" customHeight="1" x14ac:dyDescent="0.2">
      <c r="A49" s="228"/>
      <c r="B49" s="103">
        <v>2</v>
      </c>
      <c r="C49" s="103"/>
      <c r="D49" s="139"/>
      <c r="E49" s="104"/>
      <c r="F49" s="103"/>
      <c r="G49" s="103"/>
      <c r="H49" s="218"/>
      <c r="I49" s="218"/>
      <c r="J49" s="140"/>
    </row>
    <row r="50" spans="1:10" ht="15" customHeight="1" x14ac:dyDescent="0.2">
      <c r="A50" s="228"/>
      <c r="B50" s="103">
        <v>3</v>
      </c>
      <c r="C50" s="103"/>
      <c r="D50" s="139"/>
      <c r="E50" s="104"/>
      <c r="F50" s="103"/>
      <c r="G50" s="103"/>
      <c r="H50" s="218"/>
      <c r="I50" s="218"/>
      <c r="J50" s="140"/>
    </row>
    <row r="51" spans="1:10" ht="15" customHeight="1" x14ac:dyDescent="0.2">
      <c r="A51" s="228"/>
      <c r="B51" s="103">
        <v>4</v>
      </c>
      <c r="C51" s="103"/>
      <c r="D51" s="139"/>
      <c r="E51" s="104"/>
      <c r="F51" s="103"/>
      <c r="G51" s="103"/>
      <c r="H51" s="218"/>
      <c r="I51" s="218"/>
      <c r="J51" s="140"/>
    </row>
    <row r="52" spans="1:10" ht="15" customHeight="1" thickBot="1" x14ac:dyDescent="0.25">
      <c r="A52" s="229"/>
      <c r="B52" s="141">
        <v>5</v>
      </c>
      <c r="C52" s="141"/>
      <c r="D52" s="142"/>
      <c r="E52" s="143"/>
      <c r="F52" s="141"/>
      <c r="G52" s="141"/>
      <c r="H52" s="219"/>
      <c r="I52" s="219"/>
      <c r="J52" s="144"/>
    </row>
    <row r="53" spans="1:10" ht="15" customHeight="1" x14ac:dyDescent="0.2">
      <c r="A53" s="227">
        <v>11</v>
      </c>
      <c r="B53" s="135">
        <v>1</v>
      </c>
      <c r="C53" s="135"/>
      <c r="D53" s="136"/>
      <c r="E53" s="137"/>
      <c r="F53" s="135"/>
      <c r="G53" s="135"/>
      <c r="H53" s="220"/>
      <c r="I53" s="217"/>
      <c r="J53" s="138"/>
    </row>
    <row r="54" spans="1:10" ht="15" customHeight="1" x14ac:dyDescent="0.2">
      <c r="A54" s="228"/>
      <c r="B54" s="103">
        <v>2</v>
      </c>
      <c r="C54" s="103"/>
      <c r="D54" s="139"/>
      <c r="E54" s="104"/>
      <c r="F54" s="103"/>
      <c r="G54" s="103"/>
      <c r="H54" s="221"/>
      <c r="I54" s="218"/>
      <c r="J54" s="140"/>
    </row>
    <row r="55" spans="1:10" ht="15" customHeight="1" x14ac:dyDescent="0.2">
      <c r="A55" s="228"/>
      <c r="B55" s="103">
        <v>3</v>
      </c>
      <c r="C55" s="103"/>
      <c r="D55" s="139"/>
      <c r="E55" s="104"/>
      <c r="F55" s="103"/>
      <c r="G55" s="103"/>
      <c r="H55" s="221"/>
      <c r="I55" s="218"/>
      <c r="J55" s="140"/>
    </row>
    <row r="56" spans="1:10" ht="15" customHeight="1" x14ac:dyDescent="0.2">
      <c r="A56" s="228"/>
      <c r="B56" s="103">
        <v>4</v>
      </c>
      <c r="C56" s="103"/>
      <c r="D56" s="139"/>
      <c r="E56" s="104"/>
      <c r="F56" s="103"/>
      <c r="G56" s="103"/>
      <c r="H56" s="221"/>
      <c r="I56" s="218"/>
      <c r="J56" s="140"/>
    </row>
    <row r="57" spans="1:10" ht="15" customHeight="1" thickBot="1" x14ac:dyDescent="0.25">
      <c r="A57" s="229"/>
      <c r="B57" s="145">
        <v>5</v>
      </c>
      <c r="C57" s="145"/>
      <c r="D57" s="146"/>
      <c r="E57" s="147"/>
      <c r="F57" s="145"/>
      <c r="G57" s="145"/>
      <c r="H57" s="230"/>
      <c r="I57" s="218"/>
      <c r="J57" s="148"/>
    </row>
    <row r="58" spans="1:10" ht="15" customHeight="1" x14ac:dyDescent="0.2">
      <c r="A58" s="227">
        <v>12</v>
      </c>
      <c r="B58" s="135">
        <v>1</v>
      </c>
      <c r="C58" s="135"/>
      <c r="D58" s="136"/>
      <c r="E58" s="137"/>
      <c r="F58" s="135"/>
      <c r="G58" s="135"/>
      <c r="H58" s="217"/>
      <c r="I58" s="217"/>
      <c r="J58" s="138"/>
    </row>
    <row r="59" spans="1:10" ht="15" customHeight="1" x14ac:dyDescent="0.2">
      <c r="A59" s="228"/>
      <c r="B59" s="103">
        <v>2</v>
      </c>
      <c r="C59" s="103"/>
      <c r="D59" s="139"/>
      <c r="E59" s="104"/>
      <c r="F59" s="103"/>
      <c r="G59" s="103"/>
      <c r="H59" s="218"/>
      <c r="I59" s="218"/>
      <c r="J59" s="140"/>
    </row>
    <row r="60" spans="1:10" ht="15" customHeight="1" x14ac:dyDescent="0.2">
      <c r="A60" s="228"/>
      <c r="B60" s="103">
        <v>3</v>
      </c>
      <c r="C60" s="103"/>
      <c r="D60" s="139"/>
      <c r="E60" s="104"/>
      <c r="F60" s="103"/>
      <c r="G60" s="103"/>
      <c r="H60" s="218"/>
      <c r="I60" s="218"/>
      <c r="J60" s="140"/>
    </row>
    <row r="61" spans="1:10" ht="15" customHeight="1" x14ac:dyDescent="0.2">
      <c r="A61" s="228"/>
      <c r="B61" s="103">
        <v>4</v>
      </c>
      <c r="C61" s="103"/>
      <c r="D61" s="139"/>
      <c r="E61" s="104"/>
      <c r="F61" s="103"/>
      <c r="G61" s="103"/>
      <c r="H61" s="218"/>
      <c r="I61" s="218"/>
      <c r="J61" s="140"/>
    </row>
    <row r="62" spans="1:10" ht="15" customHeight="1" thickBot="1" x14ac:dyDescent="0.25">
      <c r="A62" s="229"/>
      <c r="B62" s="141">
        <v>5</v>
      </c>
      <c r="C62" s="141"/>
      <c r="D62" s="142"/>
      <c r="E62" s="143"/>
      <c r="F62" s="141"/>
      <c r="G62" s="141"/>
      <c r="H62" s="219"/>
      <c r="I62" s="219"/>
      <c r="J62" s="144"/>
    </row>
    <row r="63" spans="1:10" ht="15" customHeight="1" x14ac:dyDescent="0.2">
      <c r="A63" s="227">
        <v>13</v>
      </c>
      <c r="B63" s="149">
        <v>1</v>
      </c>
      <c r="C63" s="135"/>
      <c r="D63" s="136"/>
      <c r="E63" s="137"/>
      <c r="F63" s="135"/>
      <c r="G63" s="135"/>
      <c r="H63" s="217"/>
      <c r="I63" s="217"/>
      <c r="J63" s="138"/>
    </row>
    <row r="64" spans="1:10" ht="15" customHeight="1" x14ac:dyDescent="0.2">
      <c r="A64" s="228"/>
      <c r="B64" s="123">
        <v>2</v>
      </c>
      <c r="C64" s="103"/>
      <c r="D64" s="139"/>
      <c r="E64" s="104"/>
      <c r="F64" s="103"/>
      <c r="G64" s="103"/>
      <c r="H64" s="218"/>
      <c r="I64" s="218"/>
      <c r="J64" s="140"/>
    </row>
    <row r="65" spans="1:10" ht="15" customHeight="1" x14ac:dyDescent="0.2">
      <c r="A65" s="228"/>
      <c r="B65" s="123">
        <v>3</v>
      </c>
      <c r="C65" s="103"/>
      <c r="D65" s="139"/>
      <c r="E65" s="104"/>
      <c r="F65" s="103"/>
      <c r="G65" s="103"/>
      <c r="H65" s="218"/>
      <c r="I65" s="218"/>
      <c r="J65" s="140"/>
    </row>
    <row r="66" spans="1:10" ht="15" customHeight="1" x14ac:dyDescent="0.2">
      <c r="A66" s="228"/>
      <c r="B66" s="123">
        <v>4</v>
      </c>
      <c r="C66" s="103"/>
      <c r="D66" s="139"/>
      <c r="E66" s="104"/>
      <c r="F66" s="103"/>
      <c r="G66" s="103"/>
      <c r="H66" s="218"/>
      <c r="I66" s="218"/>
      <c r="J66" s="140"/>
    </row>
    <row r="67" spans="1:10" ht="15" customHeight="1" thickBot="1" x14ac:dyDescent="0.25">
      <c r="A67" s="229"/>
      <c r="B67" s="150">
        <v>5</v>
      </c>
      <c r="C67" s="141"/>
      <c r="D67" s="142"/>
      <c r="E67" s="143"/>
      <c r="F67" s="141"/>
      <c r="G67" s="141"/>
      <c r="H67" s="219"/>
      <c r="I67" s="219"/>
      <c r="J67" s="144"/>
    </row>
    <row r="68" spans="1:10" ht="15" customHeight="1" x14ac:dyDescent="0.2">
      <c r="A68" s="227">
        <v>14</v>
      </c>
      <c r="B68" s="135">
        <v>1</v>
      </c>
      <c r="C68" s="135"/>
      <c r="D68" s="136"/>
      <c r="E68" s="137"/>
      <c r="F68" s="135"/>
      <c r="G68" s="135"/>
      <c r="H68" s="217"/>
      <c r="I68" s="217"/>
      <c r="J68" s="138"/>
    </row>
    <row r="69" spans="1:10" ht="15" customHeight="1" x14ac:dyDescent="0.2">
      <c r="A69" s="228"/>
      <c r="B69" s="103">
        <v>2</v>
      </c>
      <c r="C69" s="103"/>
      <c r="D69" s="139"/>
      <c r="E69" s="104"/>
      <c r="F69" s="103"/>
      <c r="G69" s="103"/>
      <c r="H69" s="218"/>
      <c r="I69" s="218"/>
      <c r="J69" s="140"/>
    </row>
    <row r="70" spans="1:10" ht="15" customHeight="1" x14ac:dyDescent="0.2">
      <c r="A70" s="228"/>
      <c r="B70" s="103">
        <v>3</v>
      </c>
      <c r="C70" s="103"/>
      <c r="D70" s="139"/>
      <c r="E70" s="104"/>
      <c r="F70" s="103"/>
      <c r="G70" s="103"/>
      <c r="H70" s="218"/>
      <c r="I70" s="218"/>
      <c r="J70" s="140"/>
    </row>
    <row r="71" spans="1:10" ht="15" customHeight="1" x14ac:dyDescent="0.2">
      <c r="A71" s="228"/>
      <c r="B71" s="103">
        <v>4</v>
      </c>
      <c r="C71" s="103"/>
      <c r="D71" s="139"/>
      <c r="E71" s="104"/>
      <c r="F71" s="103"/>
      <c r="G71" s="103"/>
      <c r="H71" s="218"/>
      <c r="I71" s="218"/>
      <c r="J71" s="140"/>
    </row>
    <row r="72" spans="1:10" ht="15" customHeight="1" thickBot="1" x14ac:dyDescent="0.25">
      <c r="A72" s="229"/>
      <c r="B72" s="141">
        <v>5</v>
      </c>
      <c r="C72" s="141"/>
      <c r="D72" s="142"/>
      <c r="E72" s="143"/>
      <c r="F72" s="141"/>
      <c r="G72" s="141"/>
      <c r="H72" s="219"/>
      <c r="I72" s="219"/>
      <c r="J72" s="144"/>
    </row>
    <row r="73" spans="1:10" ht="15" customHeight="1" x14ac:dyDescent="0.2">
      <c r="A73" s="227">
        <v>15</v>
      </c>
      <c r="B73" s="149">
        <v>1</v>
      </c>
      <c r="C73" s="135"/>
      <c r="D73" s="136"/>
      <c r="E73" s="137"/>
      <c r="F73" s="135"/>
      <c r="G73" s="135"/>
      <c r="H73" s="217"/>
      <c r="I73" s="217"/>
      <c r="J73" s="138"/>
    </row>
    <row r="74" spans="1:10" ht="15" customHeight="1" x14ac:dyDescent="0.2">
      <c r="A74" s="228"/>
      <c r="B74" s="123">
        <v>2</v>
      </c>
      <c r="C74" s="103"/>
      <c r="D74" s="139"/>
      <c r="E74" s="104"/>
      <c r="F74" s="103"/>
      <c r="G74" s="103"/>
      <c r="H74" s="218"/>
      <c r="I74" s="218"/>
      <c r="J74" s="140"/>
    </row>
    <row r="75" spans="1:10" ht="15" customHeight="1" x14ac:dyDescent="0.2">
      <c r="A75" s="228"/>
      <c r="B75" s="123">
        <v>3</v>
      </c>
      <c r="C75" s="103"/>
      <c r="D75" s="139"/>
      <c r="E75" s="104"/>
      <c r="F75" s="103"/>
      <c r="G75" s="103"/>
      <c r="H75" s="218"/>
      <c r="I75" s="218"/>
      <c r="J75" s="140"/>
    </row>
    <row r="76" spans="1:10" ht="15" customHeight="1" x14ac:dyDescent="0.2">
      <c r="A76" s="228"/>
      <c r="B76" s="123">
        <v>4</v>
      </c>
      <c r="C76" s="103"/>
      <c r="D76" s="139"/>
      <c r="E76" s="104"/>
      <c r="F76" s="103"/>
      <c r="G76" s="103"/>
      <c r="H76" s="218"/>
      <c r="I76" s="218"/>
      <c r="J76" s="140"/>
    </row>
    <row r="77" spans="1:10" ht="15" customHeight="1" thickBot="1" x14ac:dyDescent="0.25">
      <c r="A77" s="229"/>
      <c r="B77" s="150">
        <v>5</v>
      </c>
      <c r="C77" s="141"/>
      <c r="D77" s="142"/>
      <c r="E77" s="143"/>
      <c r="F77" s="141"/>
      <c r="G77" s="141"/>
      <c r="H77" s="219"/>
      <c r="I77" s="219"/>
      <c r="J77" s="144"/>
    </row>
    <row r="78" spans="1:10" ht="15" customHeight="1" x14ac:dyDescent="0.2">
      <c r="A78" s="227">
        <v>16</v>
      </c>
      <c r="B78" s="135">
        <v>1</v>
      </c>
      <c r="C78" s="135"/>
      <c r="D78" s="136"/>
      <c r="E78" s="137"/>
      <c r="F78" s="135"/>
      <c r="G78" s="135"/>
      <c r="H78" s="217"/>
      <c r="I78" s="217"/>
      <c r="J78" s="138"/>
    </row>
    <row r="79" spans="1:10" ht="15" customHeight="1" x14ac:dyDescent="0.2">
      <c r="A79" s="228"/>
      <c r="B79" s="103">
        <v>2</v>
      </c>
      <c r="C79" s="103"/>
      <c r="D79" s="139"/>
      <c r="E79" s="104"/>
      <c r="F79" s="103"/>
      <c r="G79" s="103"/>
      <c r="H79" s="218"/>
      <c r="I79" s="218"/>
      <c r="J79" s="140"/>
    </row>
    <row r="80" spans="1:10" ht="15" customHeight="1" x14ac:dyDescent="0.2">
      <c r="A80" s="228"/>
      <c r="B80" s="103">
        <v>3</v>
      </c>
      <c r="C80" s="103"/>
      <c r="D80" s="139"/>
      <c r="E80" s="104"/>
      <c r="F80" s="103"/>
      <c r="G80" s="103"/>
      <c r="H80" s="218"/>
      <c r="I80" s="218"/>
      <c r="J80" s="140"/>
    </row>
    <row r="81" spans="1:10" ht="15" customHeight="1" x14ac:dyDescent="0.2">
      <c r="A81" s="228"/>
      <c r="B81" s="103">
        <v>4</v>
      </c>
      <c r="C81" s="103"/>
      <c r="D81" s="139"/>
      <c r="E81" s="104"/>
      <c r="F81" s="103"/>
      <c r="G81" s="103"/>
      <c r="H81" s="218"/>
      <c r="I81" s="218"/>
      <c r="J81" s="140"/>
    </row>
    <row r="82" spans="1:10" ht="15" customHeight="1" thickBot="1" x14ac:dyDescent="0.25">
      <c r="A82" s="229"/>
      <c r="B82" s="141">
        <v>5</v>
      </c>
      <c r="C82" s="141"/>
      <c r="D82" s="142"/>
      <c r="E82" s="143"/>
      <c r="F82" s="141"/>
      <c r="G82" s="141"/>
      <c r="H82" s="219"/>
      <c r="I82" s="219"/>
      <c r="J82" s="144"/>
    </row>
    <row r="83" spans="1:10" ht="15" customHeight="1" x14ac:dyDescent="0.2">
      <c r="A83" s="227">
        <v>17</v>
      </c>
      <c r="B83" s="149">
        <v>1</v>
      </c>
      <c r="C83" s="135"/>
      <c r="D83" s="136"/>
      <c r="E83" s="137"/>
      <c r="F83" s="135"/>
      <c r="G83" s="135"/>
      <c r="H83" s="217"/>
      <c r="I83" s="217"/>
      <c r="J83" s="138"/>
    </row>
    <row r="84" spans="1:10" ht="15" customHeight="1" x14ac:dyDescent="0.2">
      <c r="A84" s="228"/>
      <c r="B84" s="123">
        <v>2</v>
      </c>
      <c r="C84" s="103"/>
      <c r="D84" s="139"/>
      <c r="E84" s="104"/>
      <c r="F84" s="103"/>
      <c r="G84" s="103"/>
      <c r="H84" s="218"/>
      <c r="I84" s="218"/>
      <c r="J84" s="140"/>
    </row>
    <row r="85" spans="1:10" ht="15" customHeight="1" x14ac:dyDescent="0.2">
      <c r="A85" s="228"/>
      <c r="B85" s="123">
        <v>3</v>
      </c>
      <c r="C85" s="103"/>
      <c r="D85" s="139"/>
      <c r="E85" s="104"/>
      <c r="F85" s="103"/>
      <c r="G85" s="103"/>
      <c r="H85" s="218"/>
      <c r="I85" s="218"/>
      <c r="J85" s="140"/>
    </row>
    <row r="86" spans="1:10" ht="15" customHeight="1" x14ac:dyDescent="0.2">
      <c r="A86" s="228"/>
      <c r="B86" s="123">
        <v>4</v>
      </c>
      <c r="C86" s="103"/>
      <c r="D86" s="139"/>
      <c r="E86" s="104"/>
      <c r="F86" s="103"/>
      <c r="G86" s="103"/>
      <c r="H86" s="218"/>
      <c r="I86" s="218"/>
      <c r="J86" s="140"/>
    </row>
    <row r="87" spans="1:10" ht="15" customHeight="1" thickBot="1" x14ac:dyDescent="0.25">
      <c r="A87" s="229"/>
      <c r="B87" s="150">
        <v>5</v>
      </c>
      <c r="C87" s="141"/>
      <c r="D87" s="142"/>
      <c r="E87" s="143"/>
      <c r="F87" s="141"/>
      <c r="G87" s="141"/>
      <c r="H87" s="219"/>
      <c r="I87" s="219"/>
      <c r="J87" s="144"/>
    </row>
    <row r="88" spans="1:10" ht="15" customHeight="1" x14ac:dyDescent="0.2">
      <c r="A88" s="227">
        <v>18</v>
      </c>
      <c r="B88" s="151">
        <v>1</v>
      </c>
      <c r="C88" s="151"/>
      <c r="D88" s="151"/>
      <c r="E88" s="152"/>
      <c r="F88" s="151"/>
      <c r="G88" s="151"/>
      <c r="H88" s="218"/>
      <c r="I88" s="218"/>
      <c r="J88" s="153"/>
    </row>
    <row r="89" spans="1:10" ht="15" customHeight="1" x14ac:dyDescent="0.2">
      <c r="A89" s="228"/>
      <c r="B89" s="103">
        <v>2</v>
      </c>
      <c r="C89" s="103"/>
      <c r="D89" s="103"/>
      <c r="E89" s="104"/>
      <c r="F89" s="103"/>
      <c r="G89" s="103"/>
      <c r="H89" s="218"/>
      <c r="I89" s="218"/>
      <c r="J89" s="140"/>
    </row>
    <row r="90" spans="1:10" ht="15" customHeight="1" x14ac:dyDescent="0.2">
      <c r="A90" s="228"/>
      <c r="B90" s="103">
        <v>3</v>
      </c>
      <c r="C90" s="103"/>
      <c r="D90" s="103"/>
      <c r="E90" s="104"/>
      <c r="F90" s="103"/>
      <c r="G90" s="103"/>
      <c r="H90" s="218"/>
      <c r="I90" s="218"/>
      <c r="J90" s="140"/>
    </row>
    <row r="91" spans="1:10" ht="15" customHeight="1" x14ac:dyDescent="0.2">
      <c r="A91" s="228"/>
      <c r="B91" s="103">
        <v>4</v>
      </c>
      <c r="C91" s="103"/>
      <c r="D91" s="103"/>
      <c r="E91" s="104"/>
      <c r="F91" s="103"/>
      <c r="G91" s="103"/>
      <c r="H91" s="218"/>
      <c r="I91" s="218"/>
      <c r="J91" s="140"/>
    </row>
    <row r="92" spans="1:10" ht="15" customHeight="1" thickBot="1" x14ac:dyDescent="0.25">
      <c r="A92" s="229"/>
      <c r="B92" s="141">
        <v>5</v>
      </c>
      <c r="C92" s="141"/>
      <c r="D92" s="141"/>
      <c r="E92" s="143"/>
      <c r="F92" s="141"/>
      <c r="G92" s="141"/>
      <c r="H92" s="219"/>
      <c r="I92" s="219"/>
      <c r="J92" s="144"/>
    </row>
    <row r="93" spans="1:10" ht="15" customHeight="1" x14ac:dyDescent="0.2">
      <c r="A93" s="227">
        <v>19</v>
      </c>
      <c r="B93" s="151">
        <v>1</v>
      </c>
      <c r="C93" s="151"/>
      <c r="D93" s="151"/>
      <c r="E93" s="152"/>
      <c r="F93" s="151"/>
      <c r="G93" s="151"/>
      <c r="H93" s="218"/>
      <c r="I93" s="218"/>
      <c r="J93" s="153"/>
    </row>
    <row r="94" spans="1:10" ht="15" customHeight="1" x14ac:dyDescent="0.2">
      <c r="A94" s="228"/>
      <c r="B94" s="103">
        <v>2</v>
      </c>
      <c r="C94" s="103"/>
      <c r="D94" s="103"/>
      <c r="E94" s="104"/>
      <c r="F94" s="103"/>
      <c r="G94" s="103"/>
      <c r="H94" s="218"/>
      <c r="I94" s="218"/>
      <c r="J94" s="140"/>
    </row>
    <row r="95" spans="1:10" ht="15" customHeight="1" x14ac:dyDescent="0.2">
      <c r="A95" s="228"/>
      <c r="B95" s="103">
        <v>3</v>
      </c>
      <c r="C95" s="103"/>
      <c r="D95" s="103"/>
      <c r="E95" s="104"/>
      <c r="F95" s="103"/>
      <c r="G95" s="103"/>
      <c r="H95" s="218"/>
      <c r="I95" s="218"/>
      <c r="J95" s="140"/>
    </row>
    <row r="96" spans="1:10" ht="15" customHeight="1" x14ac:dyDescent="0.2">
      <c r="A96" s="228"/>
      <c r="B96" s="103">
        <v>4</v>
      </c>
      <c r="C96" s="103"/>
      <c r="D96" s="103"/>
      <c r="E96" s="104"/>
      <c r="F96" s="103"/>
      <c r="G96" s="103"/>
      <c r="H96" s="218"/>
      <c r="I96" s="218"/>
      <c r="J96" s="140"/>
    </row>
    <row r="97" spans="1:10" ht="15" customHeight="1" thickBot="1" x14ac:dyDescent="0.25">
      <c r="A97" s="229"/>
      <c r="B97" s="141">
        <v>5</v>
      </c>
      <c r="C97" s="141"/>
      <c r="D97" s="141"/>
      <c r="E97" s="143"/>
      <c r="F97" s="141"/>
      <c r="G97" s="141"/>
      <c r="H97" s="219"/>
      <c r="I97" s="219"/>
      <c r="J97" s="144"/>
    </row>
  </sheetData>
  <sortState xmlns:xlrd2="http://schemas.microsoft.com/office/spreadsheetml/2017/richdata2" ref="C3:G27">
    <sortCondition ref="G3:G27"/>
  </sortState>
  <mergeCells count="60">
    <mergeCell ref="A93:A97"/>
    <mergeCell ref="H93:H97"/>
    <mergeCell ref="I93:I97"/>
    <mergeCell ref="A68:A72"/>
    <mergeCell ref="H68:H72"/>
    <mergeCell ref="I68:I72"/>
    <mergeCell ref="A73:A77"/>
    <mergeCell ref="H73:H77"/>
    <mergeCell ref="I73:I77"/>
    <mergeCell ref="A3:A7"/>
    <mergeCell ref="I3:I7"/>
    <mergeCell ref="H3:H7"/>
    <mergeCell ref="H8:H12"/>
    <mergeCell ref="I8:I12"/>
    <mergeCell ref="A38:A42"/>
    <mergeCell ref="A1:B1"/>
    <mergeCell ref="H33:H37"/>
    <mergeCell ref="I33:I37"/>
    <mergeCell ref="H38:H42"/>
    <mergeCell ref="I38:I42"/>
    <mergeCell ref="A8:A12"/>
    <mergeCell ref="A13:A17"/>
    <mergeCell ref="A18:A22"/>
    <mergeCell ref="A23:A27"/>
    <mergeCell ref="A28:A32"/>
    <mergeCell ref="A33:A37"/>
    <mergeCell ref="H18:H22"/>
    <mergeCell ref="I18:I22"/>
    <mergeCell ref="H23:H27"/>
    <mergeCell ref="I23:I27"/>
    <mergeCell ref="A43:A47"/>
    <mergeCell ref="A48:A52"/>
    <mergeCell ref="A53:A57"/>
    <mergeCell ref="A88:A92"/>
    <mergeCell ref="H43:H47"/>
    <mergeCell ref="H48:H52"/>
    <mergeCell ref="H53:H57"/>
    <mergeCell ref="H88:H92"/>
    <mergeCell ref="H78:H82"/>
    <mergeCell ref="H83:H87"/>
    <mergeCell ref="A78:A82"/>
    <mergeCell ref="A83:A87"/>
    <mergeCell ref="A58:A62"/>
    <mergeCell ref="H58:H62"/>
    <mergeCell ref="A63:A67"/>
    <mergeCell ref="H63:H67"/>
    <mergeCell ref="E1:F1"/>
    <mergeCell ref="I43:I47"/>
    <mergeCell ref="I48:I52"/>
    <mergeCell ref="I53:I57"/>
    <mergeCell ref="I88:I92"/>
    <mergeCell ref="H28:H32"/>
    <mergeCell ref="I28:I32"/>
    <mergeCell ref="H13:H17"/>
    <mergeCell ref="I13:I17"/>
    <mergeCell ref="I78:I82"/>
    <mergeCell ref="I83:I87"/>
    <mergeCell ref="I58:I62"/>
    <mergeCell ref="I63:I67"/>
    <mergeCell ref="G1:H1"/>
  </mergeCells>
  <conditionalFormatting sqref="C1:C1048576">
    <cfRule type="duplicateValues" dxfId="3" priority="2"/>
  </conditionalFormatting>
  <conditionalFormatting sqref="I8:I47">
    <cfRule type="duplicateValues" dxfId="2" priority="1"/>
  </conditionalFormatting>
  <pageMargins left="0.24" right="0.16" top="0.2" bottom="0.2" header="0.2" footer="0.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786"/>
  <sheetViews>
    <sheetView showWhiteSpace="0" view="pageLayout" zoomScale="70" zoomScaleNormal="70" zoomScalePageLayoutView="70" workbookViewId="0">
      <selection activeCell="H23" sqref="H23"/>
    </sheetView>
  </sheetViews>
  <sheetFormatPr defaultRowHeight="15" x14ac:dyDescent="0.25"/>
  <cols>
    <col min="1" max="2" width="9.140625" style="23"/>
    <col min="3" max="3" width="10" style="23" customWidth="1"/>
    <col min="4" max="14" width="9.140625" style="23"/>
    <col min="15" max="15" width="5.140625" style="23" customWidth="1"/>
    <col min="16" max="16384" width="9.140625" style="23"/>
  </cols>
  <sheetData>
    <row r="1" spans="1:15" ht="28.7" customHeight="1" thickTop="1" x14ac:dyDescent="0.25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5" ht="28.7" customHeight="1" x14ac:dyDescent="0.3">
      <c r="A2" s="77"/>
      <c r="C2" s="236" t="s">
        <v>75</v>
      </c>
      <c r="D2" s="236"/>
      <c r="E2" s="236"/>
      <c r="F2" s="236"/>
      <c r="G2" s="236"/>
      <c r="H2" s="236"/>
      <c r="I2" s="236"/>
      <c r="J2" s="236"/>
      <c r="K2" s="236"/>
      <c r="L2" s="236"/>
      <c r="M2" s="236"/>
      <c r="O2" s="78"/>
    </row>
    <row r="3" spans="1:15" ht="28.7" customHeight="1" x14ac:dyDescent="0.3">
      <c r="A3" s="77"/>
      <c r="C3" s="236" t="s">
        <v>76</v>
      </c>
      <c r="D3" s="236"/>
      <c r="E3" s="236"/>
      <c r="F3" s="236"/>
      <c r="G3" s="236"/>
      <c r="H3" s="236"/>
      <c r="I3" s="236"/>
      <c r="J3" s="236"/>
      <c r="K3" s="236"/>
      <c r="L3" s="236"/>
      <c r="M3" s="236"/>
      <c r="O3" s="78"/>
    </row>
    <row r="4" spans="1:15" ht="28.7" customHeight="1" x14ac:dyDescent="0.25">
      <c r="A4" s="77"/>
      <c r="O4" s="78"/>
    </row>
    <row r="5" spans="1:15" ht="28.7" customHeight="1" x14ac:dyDescent="0.45">
      <c r="A5" s="77"/>
      <c r="E5" s="237" t="s">
        <v>77</v>
      </c>
      <c r="F5" s="237"/>
      <c r="G5" s="237"/>
      <c r="H5" s="237"/>
      <c r="I5" s="237"/>
      <c r="J5" s="237"/>
      <c r="K5" s="237"/>
      <c r="L5" s="73"/>
      <c r="O5" s="78"/>
    </row>
    <row r="6" spans="1:15" ht="28.7" customHeight="1" x14ac:dyDescent="0.45">
      <c r="A6" s="77"/>
      <c r="E6" s="237"/>
      <c r="F6" s="237"/>
      <c r="G6" s="237"/>
      <c r="H6" s="237"/>
      <c r="I6" s="237"/>
      <c r="J6" s="237"/>
      <c r="K6" s="237"/>
      <c r="L6" s="73"/>
      <c r="O6" s="78"/>
    </row>
    <row r="7" spans="1:15" ht="28.7" customHeight="1" x14ac:dyDescent="0.45">
      <c r="A7" s="77"/>
      <c r="E7" s="237"/>
      <c r="F7" s="237"/>
      <c r="G7" s="237"/>
      <c r="H7" s="237"/>
      <c r="I7" s="237"/>
      <c r="J7" s="237"/>
      <c r="K7" s="237"/>
      <c r="L7" s="73"/>
      <c r="O7" s="78"/>
    </row>
    <row r="8" spans="1:15" ht="28.7" customHeight="1" x14ac:dyDescent="0.45">
      <c r="A8" s="77"/>
      <c r="E8" s="73"/>
      <c r="F8" s="73"/>
      <c r="G8" s="73"/>
      <c r="H8" s="73"/>
      <c r="I8" s="73"/>
      <c r="J8" s="73"/>
      <c r="K8" s="73"/>
      <c r="L8" s="73"/>
      <c r="O8" s="78"/>
    </row>
    <row r="9" spans="1:15" ht="28.7" customHeight="1" x14ac:dyDescent="0.25">
      <c r="A9" s="77"/>
      <c r="O9" s="78"/>
    </row>
    <row r="10" spans="1:15" ht="28.7" customHeight="1" x14ac:dyDescent="0.25">
      <c r="A10" s="77"/>
      <c r="C10" s="238" t="s">
        <v>78</v>
      </c>
      <c r="D10" s="238"/>
      <c r="E10" s="238"/>
      <c r="F10" s="233" t="s">
        <v>89</v>
      </c>
      <c r="G10" s="233"/>
      <c r="H10" s="233"/>
      <c r="I10" s="233"/>
      <c r="J10" s="233"/>
      <c r="K10" s="233"/>
      <c r="L10" s="239"/>
      <c r="M10" s="239"/>
      <c r="O10" s="78"/>
    </row>
    <row r="11" spans="1:15" ht="28.7" customHeight="1" x14ac:dyDescent="0.25">
      <c r="A11" s="77"/>
      <c r="C11" s="238" t="s">
        <v>90</v>
      </c>
      <c r="D11" s="238"/>
      <c r="E11" s="238"/>
      <c r="F11" s="233" t="s">
        <v>89</v>
      </c>
      <c r="G11" s="233"/>
      <c r="H11" s="233"/>
      <c r="I11" s="233"/>
      <c r="J11" s="233"/>
      <c r="K11" s="233"/>
      <c r="L11" s="239"/>
      <c r="M11" s="240"/>
      <c r="O11" s="78"/>
    </row>
    <row r="12" spans="1:15" ht="28.7" customHeight="1" x14ac:dyDescent="0.25">
      <c r="A12" s="77"/>
      <c r="C12" s="84"/>
      <c r="D12" s="84"/>
      <c r="E12" s="84"/>
      <c r="F12" s="84"/>
      <c r="O12" s="78"/>
    </row>
    <row r="13" spans="1:15" ht="28.7" customHeight="1" x14ac:dyDescent="0.25">
      <c r="A13" s="77"/>
      <c r="C13" s="234" t="s">
        <v>79</v>
      </c>
      <c r="D13" s="234"/>
      <c r="E13" s="235" t="s">
        <v>91</v>
      </c>
      <c r="F13" s="235"/>
      <c r="G13" s="235"/>
      <c r="H13" s="234" t="s">
        <v>80</v>
      </c>
      <c r="I13" s="234"/>
      <c r="J13" s="98" t="s">
        <v>92</v>
      </c>
      <c r="K13" s="82" t="s">
        <v>81</v>
      </c>
      <c r="L13" s="98" t="s">
        <v>93</v>
      </c>
      <c r="O13" s="78"/>
    </row>
    <row r="14" spans="1:15" ht="28.7" customHeight="1" x14ac:dyDescent="0.25">
      <c r="A14" s="77"/>
      <c r="C14" s="238"/>
      <c r="D14" s="240"/>
      <c r="E14" s="240"/>
      <c r="F14" s="240"/>
      <c r="G14" s="238"/>
      <c r="H14" s="238"/>
      <c r="I14" s="238"/>
      <c r="J14" s="238"/>
      <c r="K14" s="238"/>
      <c r="L14" s="238"/>
      <c r="O14" s="78"/>
    </row>
    <row r="15" spans="1:15" ht="28.7" customHeight="1" x14ac:dyDescent="0.25">
      <c r="A15" s="77"/>
      <c r="C15" s="85"/>
      <c r="D15" s="83"/>
      <c r="E15" s="83"/>
      <c r="F15" s="83"/>
      <c r="G15" s="85"/>
      <c r="H15" s="85"/>
      <c r="I15" s="85"/>
      <c r="J15" s="85"/>
      <c r="K15" s="85"/>
      <c r="L15" s="85"/>
      <c r="O15" s="78"/>
    </row>
    <row r="16" spans="1:15" ht="28.7" customHeight="1" x14ac:dyDescent="0.25">
      <c r="A16" s="86"/>
      <c r="B16" s="85"/>
      <c r="C16" s="234"/>
      <c r="D16" s="234"/>
      <c r="E16" s="241"/>
      <c r="F16" s="238"/>
      <c r="G16" s="238"/>
      <c r="H16" s="234"/>
      <c r="I16" s="234"/>
      <c r="J16" s="85"/>
      <c r="K16" s="82"/>
      <c r="L16" s="85"/>
      <c r="M16" s="85"/>
      <c r="N16" s="85"/>
      <c r="O16" s="87"/>
    </row>
    <row r="17" spans="1:15" ht="28.7" customHeight="1" x14ac:dyDescent="0.25">
      <c r="A17" s="77"/>
      <c r="O17" s="78"/>
    </row>
    <row r="18" spans="1:15" ht="28.7" customHeight="1" x14ac:dyDescent="0.3">
      <c r="A18" s="77"/>
      <c r="C18" s="236" t="s">
        <v>106</v>
      </c>
      <c r="D18" s="236"/>
      <c r="E18" s="236"/>
      <c r="F18" s="236"/>
      <c r="G18" s="236"/>
      <c r="H18" s="236"/>
      <c r="I18" s="236"/>
      <c r="J18" s="236"/>
      <c r="K18" s="236"/>
      <c r="L18" s="236"/>
      <c r="O18" s="78"/>
    </row>
    <row r="19" spans="1:15" ht="28.7" customHeight="1" thickBot="1" x14ac:dyDescent="0.3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  <row r="619" ht="28.7" customHeight="1" x14ac:dyDescent="0.25"/>
    <row r="620" ht="28.7" customHeight="1" x14ac:dyDescent="0.25"/>
    <row r="621" ht="28.7" customHeight="1" x14ac:dyDescent="0.25"/>
    <row r="622" ht="28.7" customHeight="1" x14ac:dyDescent="0.25"/>
    <row r="623" ht="28.7" customHeight="1" x14ac:dyDescent="0.25"/>
    <row r="624" ht="28.7" customHeight="1" x14ac:dyDescent="0.25"/>
    <row r="625" ht="28.7" customHeight="1" x14ac:dyDescent="0.25"/>
    <row r="626" ht="28.7" customHeight="1" x14ac:dyDescent="0.25"/>
    <row r="627" ht="28.7" customHeight="1" x14ac:dyDescent="0.25"/>
    <row r="628" ht="28.7" customHeight="1" x14ac:dyDescent="0.25"/>
    <row r="629" ht="28.7" customHeight="1" x14ac:dyDescent="0.25"/>
    <row r="630" ht="28.7" customHeight="1" x14ac:dyDescent="0.25"/>
    <row r="631" ht="28.7" customHeight="1" x14ac:dyDescent="0.25"/>
    <row r="632" ht="28.7" customHeight="1" x14ac:dyDescent="0.25"/>
    <row r="633" ht="28.7" customHeight="1" x14ac:dyDescent="0.25"/>
    <row r="634" ht="28.7" customHeight="1" x14ac:dyDescent="0.25"/>
    <row r="635" ht="28.7" customHeight="1" x14ac:dyDescent="0.25"/>
    <row r="636" ht="28.7" customHeight="1" x14ac:dyDescent="0.25"/>
    <row r="637" ht="28.7" customHeight="1" x14ac:dyDescent="0.25"/>
    <row r="638" ht="28.7" customHeight="1" x14ac:dyDescent="0.25"/>
    <row r="639" ht="28.7" customHeight="1" x14ac:dyDescent="0.25"/>
    <row r="640" ht="28.7" customHeight="1" x14ac:dyDescent="0.25"/>
    <row r="641" ht="28.7" customHeight="1" x14ac:dyDescent="0.25"/>
    <row r="642" ht="28.7" customHeight="1" x14ac:dyDescent="0.25"/>
    <row r="643" ht="28.7" customHeight="1" x14ac:dyDescent="0.25"/>
    <row r="644" ht="28.7" customHeight="1" x14ac:dyDescent="0.25"/>
    <row r="645" ht="28.7" customHeight="1" x14ac:dyDescent="0.25"/>
    <row r="646" ht="28.7" customHeight="1" x14ac:dyDescent="0.25"/>
    <row r="647" ht="28.7" customHeight="1" x14ac:dyDescent="0.25"/>
    <row r="648" ht="28.7" customHeight="1" x14ac:dyDescent="0.25"/>
    <row r="649" ht="28.7" customHeight="1" x14ac:dyDescent="0.25"/>
    <row r="650" ht="28.7" customHeight="1" x14ac:dyDescent="0.25"/>
    <row r="651" ht="28.7" customHeight="1" x14ac:dyDescent="0.25"/>
    <row r="652" ht="28.7" customHeight="1" x14ac:dyDescent="0.25"/>
    <row r="653" ht="28.7" customHeight="1" x14ac:dyDescent="0.25"/>
    <row r="654" ht="28.7" customHeight="1" x14ac:dyDescent="0.25"/>
    <row r="655" ht="28.7" customHeight="1" x14ac:dyDescent="0.25"/>
    <row r="656" ht="28.7" customHeight="1" x14ac:dyDescent="0.25"/>
    <row r="657" ht="28.7" customHeight="1" x14ac:dyDescent="0.25"/>
    <row r="658" ht="28.7" customHeight="1" x14ac:dyDescent="0.25"/>
    <row r="659" ht="28.7" customHeight="1" x14ac:dyDescent="0.25"/>
    <row r="660" ht="28.7" customHeight="1" x14ac:dyDescent="0.25"/>
    <row r="661" ht="28.7" customHeight="1" x14ac:dyDescent="0.25"/>
    <row r="662" ht="28.7" customHeight="1" x14ac:dyDescent="0.25"/>
    <row r="663" ht="28.7" customHeight="1" x14ac:dyDescent="0.25"/>
    <row r="664" ht="28.7" customHeight="1" x14ac:dyDescent="0.25"/>
    <row r="665" ht="28.7" customHeight="1" x14ac:dyDescent="0.25"/>
    <row r="666" ht="28.7" customHeight="1" x14ac:dyDescent="0.25"/>
    <row r="667" ht="28.7" customHeight="1" x14ac:dyDescent="0.25"/>
    <row r="668" ht="28.7" customHeight="1" x14ac:dyDescent="0.25"/>
    <row r="669" ht="28.7" customHeight="1" x14ac:dyDescent="0.25"/>
    <row r="670" ht="28.7" customHeight="1" x14ac:dyDescent="0.25"/>
    <row r="671" ht="28.7" customHeight="1" x14ac:dyDescent="0.25"/>
    <row r="672" ht="28.7" customHeight="1" x14ac:dyDescent="0.25"/>
    <row r="673" ht="28.7" customHeight="1" x14ac:dyDescent="0.25"/>
    <row r="674" ht="28.7" customHeight="1" x14ac:dyDescent="0.25"/>
    <row r="675" ht="28.7" customHeight="1" x14ac:dyDescent="0.25"/>
    <row r="676" ht="28.7" customHeight="1" x14ac:dyDescent="0.25"/>
    <row r="677" ht="28.7" customHeight="1" x14ac:dyDescent="0.25"/>
    <row r="678" ht="28.7" customHeight="1" x14ac:dyDescent="0.25"/>
    <row r="679" ht="28.7" customHeight="1" x14ac:dyDescent="0.25"/>
    <row r="680" ht="28.7" customHeight="1" x14ac:dyDescent="0.25"/>
    <row r="681" ht="28.7" customHeight="1" x14ac:dyDescent="0.25"/>
    <row r="682" ht="28.7" customHeight="1" x14ac:dyDescent="0.25"/>
    <row r="683" ht="28.7" customHeight="1" x14ac:dyDescent="0.25"/>
    <row r="684" ht="28.7" customHeight="1" x14ac:dyDescent="0.25"/>
    <row r="685" ht="28.7" customHeight="1" x14ac:dyDescent="0.25"/>
    <row r="686" ht="28.7" customHeight="1" x14ac:dyDescent="0.25"/>
    <row r="687" ht="28.7" customHeight="1" x14ac:dyDescent="0.25"/>
    <row r="688" ht="28.7" customHeight="1" x14ac:dyDescent="0.25"/>
    <row r="689" ht="28.7" customHeight="1" x14ac:dyDescent="0.25"/>
    <row r="690" ht="28.7" customHeight="1" x14ac:dyDescent="0.25"/>
    <row r="691" ht="28.7" customHeight="1" x14ac:dyDescent="0.25"/>
    <row r="692" ht="28.7" customHeight="1" x14ac:dyDescent="0.25"/>
    <row r="693" ht="28.7" customHeight="1" x14ac:dyDescent="0.25"/>
    <row r="694" ht="28.7" customHeight="1" x14ac:dyDescent="0.25"/>
    <row r="695" ht="28.7" customHeight="1" x14ac:dyDescent="0.25"/>
    <row r="696" ht="28.7" customHeight="1" x14ac:dyDescent="0.25"/>
    <row r="697" ht="28.7" customHeight="1" x14ac:dyDescent="0.25"/>
    <row r="698" ht="28.7" customHeight="1" x14ac:dyDescent="0.25"/>
    <row r="699" ht="28.7" customHeight="1" x14ac:dyDescent="0.25"/>
    <row r="700" ht="28.7" customHeight="1" x14ac:dyDescent="0.25"/>
    <row r="701" ht="28.7" customHeight="1" x14ac:dyDescent="0.25"/>
    <row r="702" ht="28.7" customHeight="1" x14ac:dyDescent="0.25"/>
    <row r="703" ht="28.7" customHeight="1" x14ac:dyDescent="0.25"/>
    <row r="704" ht="28.7" customHeight="1" x14ac:dyDescent="0.25"/>
    <row r="705" ht="28.7" customHeight="1" x14ac:dyDescent="0.25"/>
    <row r="706" ht="28.7" customHeight="1" x14ac:dyDescent="0.25"/>
    <row r="707" ht="28.7" customHeight="1" x14ac:dyDescent="0.25"/>
    <row r="708" ht="28.7" customHeight="1" x14ac:dyDescent="0.25"/>
    <row r="709" ht="28.7" customHeight="1" x14ac:dyDescent="0.25"/>
    <row r="710" ht="28.7" customHeight="1" x14ac:dyDescent="0.25"/>
    <row r="711" ht="28.7" customHeight="1" x14ac:dyDescent="0.25"/>
    <row r="712" ht="28.7" customHeight="1" x14ac:dyDescent="0.25"/>
    <row r="713" ht="28.7" customHeight="1" x14ac:dyDescent="0.25"/>
    <row r="714" ht="28.7" customHeight="1" x14ac:dyDescent="0.25"/>
    <row r="715" ht="28.7" customHeight="1" x14ac:dyDescent="0.25"/>
    <row r="716" ht="28.7" customHeight="1" x14ac:dyDescent="0.25"/>
    <row r="717" ht="28.7" customHeight="1" x14ac:dyDescent="0.25"/>
    <row r="718" ht="28.7" customHeight="1" x14ac:dyDescent="0.25"/>
    <row r="719" ht="28.7" customHeight="1" x14ac:dyDescent="0.25"/>
    <row r="720" ht="28.7" customHeight="1" x14ac:dyDescent="0.25"/>
    <row r="721" ht="28.7" customHeight="1" x14ac:dyDescent="0.25"/>
    <row r="722" ht="28.7" customHeight="1" x14ac:dyDescent="0.25"/>
    <row r="723" ht="28.7" customHeight="1" x14ac:dyDescent="0.25"/>
    <row r="724" ht="28.7" customHeight="1" x14ac:dyDescent="0.25"/>
    <row r="725" ht="28.7" customHeight="1" x14ac:dyDescent="0.25"/>
    <row r="726" ht="28.7" customHeight="1" x14ac:dyDescent="0.25"/>
    <row r="727" ht="28.7" customHeight="1" x14ac:dyDescent="0.25"/>
    <row r="728" ht="28.7" customHeight="1" x14ac:dyDescent="0.25"/>
    <row r="729" ht="28.7" customHeight="1" x14ac:dyDescent="0.25"/>
    <row r="730" ht="28.7" customHeight="1" x14ac:dyDescent="0.25"/>
    <row r="731" ht="28.7" customHeight="1" x14ac:dyDescent="0.25"/>
    <row r="732" ht="28.7" customHeight="1" x14ac:dyDescent="0.25"/>
    <row r="733" ht="28.7" customHeight="1" x14ac:dyDescent="0.25"/>
    <row r="734" ht="28.7" customHeight="1" x14ac:dyDescent="0.25"/>
    <row r="735" ht="28.7" customHeight="1" x14ac:dyDescent="0.25"/>
    <row r="736" ht="28.7" customHeight="1" x14ac:dyDescent="0.25"/>
    <row r="737" ht="28.7" customHeight="1" x14ac:dyDescent="0.25"/>
    <row r="738" ht="28.7" customHeight="1" x14ac:dyDescent="0.25"/>
    <row r="739" ht="28.7" customHeight="1" x14ac:dyDescent="0.25"/>
    <row r="740" ht="28.7" customHeight="1" x14ac:dyDescent="0.25"/>
    <row r="741" ht="28.7" customHeight="1" x14ac:dyDescent="0.25"/>
    <row r="742" ht="28.7" customHeight="1" x14ac:dyDescent="0.25"/>
    <row r="743" ht="28.7" customHeight="1" x14ac:dyDescent="0.25"/>
    <row r="744" ht="28.7" customHeight="1" x14ac:dyDescent="0.25"/>
    <row r="745" ht="28.7" customHeight="1" x14ac:dyDescent="0.25"/>
    <row r="746" ht="28.7" customHeight="1" x14ac:dyDescent="0.25"/>
    <row r="747" ht="28.7" customHeight="1" x14ac:dyDescent="0.25"/>
    <row r="748" ht="28.7" customHeight="1" x14ac:dyDescent="0.25"/>
    <row r="749" ht="28.7" customHeight="1" x14ac:dyDescent="0.25"/>
    <row r="750" ht="28.7" customHeight="1" x14ac:dyDescent="0.25"/>
    <row r="751" ht="28.7" customHeight="1" x14ac:dyDescent="0.25"/>
    <row r="752" ht="28.7" customHeight="1" x14ac:dyDescent="0.25"/>
    <row r="753" ht="28.7" customHeight="1" x14ac:dyDescent="0.25"/>
    <row r="754" ht="28.7" customHeight="1" x14ac:dyDescent="0.25"/>
    <row r="755" ht="28.7" customHeight="1" x14ac:dyDescent="0.25"/>
    <row r="756" ht="28.7" customHeight="1" x14ac:dyDescent="0.25"/>
    <row r="757" ht="28.7" customHeight="1" x14ac:dyDescent="0.25"/>
    <row r="758" ht="28.7" customHeight="1" x14ac:dyDescent="0.25"/>
    <row r="759" ht="28.7" customHeight="1" x14ac:dyDescent="0.25"/>
    <row r="760" ht="28.7" customHeight="1" x14ac:dyDescent="0.25"/>
    <row r="761" ht="28.7" customHeight="1" x14ac:dyDescent="0.25"/>
    <row r="762" ht="28.7" customHeight="1" x14ac:dyDescent="0.25"/>
    <row r="763" ht="28.7" customHeight="1" x14ac:dyDescent="0.25"/>
    <row r="764" ht="28.7" customHeight="1" x14ac:dyDescent="0.25"/>
    <row r="765" ht="28.7" customHeight="1" x14ac:dyDescent="0.25"/>
    <row r="766" ht="28.7" customHeight="1" x14ac:dyDescent="0.25"/>
    <row r="767" ht="28.7" customHeight="1" x14ac:dyDescent="0.25"/>
    <row r="768" ht="28.7" customHeight="1" x14ac:dyDescent="0.25"/>
    <row r="769" ht="28.7" customHeight="1" x14ac:dyDescent="0.25"/>
    <row r="770" ht="28.7" customHeight="1" x14ac:dyDescent="0.25"/>
    <row r="771" ht="28.7" customHeight="1" x14ac:dyDescent="0.25"/>
    <row r="772" ht="28.7" customHeight="1" x14ac:dyDescent="0.25"/>
    <row r="773" ht="28.7" customHeight="1" x14ac:dyDescent="0.25"/>
    <row r="774" ht="28.7" customHeight="1" x14ac:dyDescent="0.25"/>
    <row r="775" ht="28.7" customHeight="1" x14ac:dyDescent="0.25"/>
    <row r="776" ht="28.7" customHeight="1" x14ac:dyDescent="0.25"/>
    <row r="777" ht="28.7" customHeight="1" x14ac:dyDescent="0.25"/>
    <row r="778" ht="28.7" customHeight="1" x14ac:dyDescent="0.25"/>
    <row r="779" ht="28.7" customHeight="1" x14ac:dyDescent="0.25"/>
    <row r="780" ht="28.7" customHeight="1" x14ac:dyDescent="0.25"/>
    <row r="781" ht="28.7" customHeight="1" x14ac:dyDescent="0.25"/>
    <row r="782" ht="28.7" customHeight="1" x14ac:dyDescent="0.25"/>
    <row r="783" ht="28.7" customHeight="1" x14ac:dyDescent="0.25"/>
    <row r="784" ht="28.7" customHeight="1" x14ac:dyDescent="0.25"/>
    <row r="785" ht="28.7" customHeight="1" x14ac:dyDescent="0.25"/>
    <row r="786" ht="28.7" customHeight="1" x14ac:dyDescent="0.25"/>
  </sheetData>
  <mergeCells count="18">
    <mergeCell ref="C18:L18"/>
    <mergeCell ref="C14:F14"/>
    <mergeCell ref="G14:L14"/>
    <mergeCell ref="C16:D16"/>
    <mergeCell ref="E16:G16"/>
    <mergeCell ref="H16:I16"/>
    <mergeCell ref="F11:K11"/>
    <mergeCell ref="C13:D13"/>
    <mergeCell ref="E13:G13"/>
    <mergeCell ref="H13:I13"/>
    <mergeCell ref="C2:M2"/>
    <mergeCell ref="C3:M3"/>
    <mergeCell ref="E5:K7"/>
    <mergeCell ref="C10:E10"/>
    <mergeCell ref="L10:M10"/>
    <mergeCell ref="L11:M11"/>
    <mergeCell ref="F10:K10"/>
    <mergeCell ref="C11:E11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223"/>
  <sheetViews>
    <sheetView showWhiteSpace="0" view="pageLayout" zoomScale="70" zoomScaleNormal="100" zoomScalePageLayoutView="70" workbookViewId="0">
      <selection activeCell="A225" sqref="A225:XFD236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7"/>
      <c r="B1" s="19" t="s">
        <v>34</v>
      </c>
      <c r="C1" s="71" t="s">
        <v>94</v>
      </c>
      <c r="D1" s="18" t="s">
        <v>9</v>
      </c>
      <c r="E1" s="20" t="s">
        <v>11</v>
      </c>
      <c r="F1" s="22" t="s">
        <v>10</v>
      </c>
      <c r="G1" s="20" t="s">
        <v>35</v>
      </c>
    </row>
    <row r="2" spans="1:7" ht="30" customHeight="1" x14ac:dyDescent="0.3">
      <c r="A2" s="17"/>
      <c r="B2" s="19" t="s">
        <v>95</v>
      </c>
      <c r="C2" s="243" t="s">
        <v>96</v>
      </c>
      <c r="D2" s="244"/>
      <c r="E2" s="21" t="s">
        <v>1</v>
      </c>
      <c r="F2" s="245" t="s">
        <v>53</v>
      </c>
      <c r="G2" s="245"/>
    </row>
    <row r="3" spans="1:7" ht="30" customHeight="1" x14ac:dyDescent="0.25"/>
    <row r="4" spans="1:7" ht="30" customHeight="1" x14ac:dyDescent="0.25">
      <c r="A4" s="242" t="s">
        <v>0</v>
      </c>
      <c r="B4" s="242"/>
      <c r="C4" s="242"/>
      <c r="D4" s="242"/>
      <c r="E4" s="242"/>
      <c r="F4" s="242"/>
      <c r="G4" s="242"/>
    </row>
    <row r="5" spans="1:7" ht="30" customHeight="1" x14ac:dyDescent="0.25"/>
    <row r="6" spans="1:7" s="11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69.95" customHeight="1" x14ac:dyDescent="0.25">
      <c r="A7" s="6">
        <v>1</v>
      </c>
      <c r="B7" s="7" t="str">
        <f>'DANH SÁCH'!C3</f>
        <v>TRẦN NGUYỄN TRÂM ANH</v>
      </c>
      <c r="C7" s="72" t="str">
        <f>'DANH SÁCH'!D3</f>
        <v>27/11/1988</v>
      </c>
      <c r="D7" s="8" t="str">
        <f>'DANH SÁCH'!F3</f>
        <v>68/45 Trần Quang Khải P. Tân Định, Q.1, TP. Hồ Chí Minh</v>
      </c>
      <c r="E7" s="6"/>
      <c r="F7" s="9"/>
      <c r="G7" s="9"/>
    </row>
    <row r="8" spans="1:7" ht="69.95" customHeight="1" x14ac:dyDescent="0.25">
      <c r="A8" s="6">
        <v>2</v>
      </c>
      <c r="B8" s="7" t="str">
        <f>'DANH SÁCH'!C4</f>
        <v>HỒ TRẦN NHẤT DUY</v>
      </c>
      <c r="C8" s="72" t="str">
        <f>'DANH SÁCH'!D4</f>
        <v>16/04/2003</v>
      </c>
      <c r="D8" s="8" t="str">
        <f>'DANH SÁCH'!F4</f>
        <v>266/15/1/6 Tổ 23 Khu 2 P. Hiệp Thành, TP. Thủ Dầu Một, T. Bình Dương</v>
      </c>
      <c r="E8" s="6"/>
      <c r="F8" s="9"/>
      <c r="G8" s="9"/>
    </row>
    <row r="9" spans="1:7" ht="69.95" customHeight="1" x14ac:dyDescent="0.25">
      <c r="A9" s="6">
        <v>3</v>
      </c>
      <c r="B9" s="7" t="str">
        <f>'DANH SÁCH'!C5</f>
        <v>PHẠM THỊ DUY TRINH</v>
      </c>
      <c r="C9" s="72" t="str">
        <f>'DANH SÁCH'!D5</f>
        <v>19/11/2001</v>
      </c>
      <c r="D9" s="8" t="str">
        <f>'DANH SÁCH'!F5</f>
        <v>Thôn 4 X. Đắk Búk So, H. Tuy Đức, T. Đắk Nông</v>
      </c>
      <c r="E9" s="6"/>
      <c r="F9" s="9"/>
      <c r="G9" s="9"/>
    </row>
    <row r="10" spans="1:7" ht="69.95" customHeight="1" x14ac:dyDescent="0.25">
      <c r="A10" s="6">
        <v>4</v>
      </c>
      <c r="B10" s="7" t="str">
        <f>'DANH SÁCH'!C6</f>
        <v>VÕ DUY VIỆN</v>
      </c>
      <c r="C10" s="72" t="str">
        <f>'DANH SÁCH'!D6</f>
        <v>01/07/2002</v>
      </c>
      <c r="D10" s="8" t="str">
        <f>'DANH SÁCH'!F6</f>
        <v>Thôn 8 X. Nhân Cơ, H. Đắk R'Lấp, T. Đắk Nông</v>
      </c>
      <c r="E10" s="6"/>
      <c r="F10" s="9"/>
      <c r="G10" s="9"/>
    </row>
    <row r="11" spans="1:7" s="13" customFormat="1" ht="69.95" customHeight="1" x14ac:dyDescent="0.25">
      <c r="A11" s="10">
        <v>5</v>
      </c>
      <c r="B11" s="7" t="str">
        <f>'DANH SÁCH'!C7</f>
        <v>TRẦN THỊ NGỌC YẾN</v>
      </c>
      <c r="C11" s="72" t="str">
        <f>'DANH SÁCH'!D7</f>
        <v>03/09/1994</v>
      </c>
      <c r="D11" s="8" t="str">
        <f>'DANH SÁCH'!F7</f>
        <v>B04-03 C/C Theharmona P.14, Q. Tân Bình, TP. Hồ Chí Minh</v>
      </c>
      <c r="E11" s="6"/>
      <c r="F11" s="9"/>
      <c r="G11" s="9"/>
    </row>
    <row r="12" spans="1:7" ht="15.75" x14ac:dyDescent="0.25">
      <c r="B12" s="1"/>
    </row>
    <row r="13" spans="1:7" ht="30" customHeight="1" x14ac:dyDescent="0.3">
      <c r="A13" s="17"/>
      <c r="B13" s="19" t="s">
        <v>34</v>
      </c>
      <c r="C13" s="71" t="s">
        <v>94</v>
      </c>
      <c r="D13" s="18" t="s">
        <v>9</v>
      </c>
      <c r="E13" s="20" t="s">
        <v>11</v>
      </c>
      <c r="F13" s="22" t="s">
        <v>10</v>
      </c>
      <c r="G13" s="20" t="s">
        <v>35</v>
      </c>
    </row>
    <row r="14" spans="1:7" ht="30" customHeight="1" x14ac:dyDescent="0.3">
      <c r="A14" s="17"/>
      <c r="B14" s="19" t="s">
        <v>95</v>
      </c>
      <c r="C14" s="243" t="s">
        <v>96</v>
      </c>
      <c r="D14" s="244"/>
      <c r="E14" s="21" t="s">
        <v>1</v>
      </c>
      <c r="F14" s="245" t="s">
        <v>53</v>
      </c>
      <c r="G14" s="245"/>
    </row>
    <row r="15" spans="1:7" ht="30" customHeight="1" x14ac:dyDescent="0.25"/>
    <row r="16" spans="1:7" ht="30" customHeight="1" x14ac:dyDescent="0.25">
      <c r="A16" s="242" t="s">
        <v>0</v>
      </c>
      <c r="B16" s="242"/>
      <c r="C16" s="242"/>
      <c r="D16" s="242"/>
      <c r="E16" s="242"/>
      <c r="F16" s="242"/>
      <c r="G16" s="242"/>
    </row>
    <row r="17" spans="1:7" ht="30" customHeight="1" x14ac:dyDescent="0.25"/>
    <row r="18" spans="1:7" ht="60" customHeight="1" x14ac:dyDescent="0.25">
      <c r="A18" s="3" t="s">
        <v>2</v>
      </c>
      <c r="B18" s="4" t="s">
        <v>3</v>
      </c>
      <c r="C18" s="5" t="s">
        <v>4</v>
      </c>
      <c r="D18" s="3" t="s">
        <v>5</v>
      </c>
      <c r="E18" s="3" t="s">
        <v>6</v>
      </c>
      <c r="F18" s="3" t="s">
        <v>7</v>
      </c>
      <c r="G18" s="3" t="s">
        <v>8</v>
      </c>
    </row>
    <row r="19" spans="1:7" ht="69.95" customHeight="1" x14ac:dyDescent="0.25">
      <c r="A19" s="6">
        <v>1</v>
      </c>
      <c r="B19" s="7" t="str">
        <f>'DANH SÁCH'!C8</f>
        <v>ĐẶNG VĂN QUANG</v>
      </c>
      <c r="C19" s="72" t="str">
        <f>'DANH SÁCH'!D8</f>
        <v>17/07/1997</v>
      </c>
      <c r="D19" s="8" t="str">
        <f>'DANH SÁCH'!F8</f>
        <v>257/34 P. Đ. Giảng P. Bình Hưng Hòa, Q. Bình Tân, TP. Hồ Chí Minh</v>
      </c>
      <c r="E19" s="6"/>
      <c r="F19" s="9"/>
      <c r="G19" s="9"/>
    </row>
    <row r="20" spans="1:7" ht="69.95" customHeight="1" x14ac:dyDescent="0.25">
      <c r="A20" s="6">
        <v>2</v>
      </c>
      <c r="B20" s="7" t="str">
        <f>'DANH SÁCH'!C9</f>
        <v>HÀ BẢO QUỲNH ANH</v>
      </c>
      <c r="C20" s="72" t="str">
        <f>'DANH SÁCH'!D9</f>
        <v>10/02/1996</v>
      </c>
      <c r="D20" s="8" t="str">
        <f>'DANH SÁCH'!F9</f>
        <v>Khu Phố Phú Tân P. Tân Phú, TX. Đồng Xoài, T. Bình Phước</v>
      </c>
      <c r="E20" s="6"/>
      <c r="F20" s="9"/>
      <c r="G20" s="9"/>
    </row>
    <row r="21" spans="1:7" ht="69.95" customHeight="1" x14ac:dyDescent="0.25">
      <c r="A21" s="6">
        <v>3</v>
      </c>
      <c r="B21" s="7" t="str">
        <f>'DANH SÁCH'!C10</f>
        <v>NGUYỄN THỊ PHƯƠNG DUNG</v>
      </c>
      <c r="C21" s="72" t="str">
        <f>'DANH SÁCH'!D10</f>
        <v>03/10/1994</v>
      </c>
      <c r="D21" s="8" t="str">
        <f>'DANH SÁCH'!F10</f>
        <v>TT. Giá Rai, H. Giá Rai, T. Bạc Liêu</v>
      </c>
      <c r="E21" s="6"/>
      <c r="F21" s="9"/>
      <c r="G21" s="9"/>
    </row>
    <row r="22" spans="1:7" ht="69.95" customHeight="1" x14ac:dyDescent="0.25">
      <c r="A22" s="6">
        <v>4</v>
      </c>
      <c r="B22" s="7" t="str">
        <f>'DANH SÁCH'!C11</f>
        <v>A MI NA- BINROJAK</v>
      </c>
      <c r="C22" s="72" t="str">
        <f>'DANH SÁCH'!D11</f>
        <v>28/12/2004</v>
      </c>
      <c r="D22" s="8" t="str">
        <f>'DANH SÁCH'!F11</f>
        <v>231D/5 Dương Bá Trạc P.01, Q.8, TP. Hồ Chí Minh</v>
      </c>
      <c r="E22" s="6"/>
      <c r="F22" s="9"/>
      <c r="G22" s="9"/>
    </row>
    <row r="23" spans="1:7" ht="69.95" customHeight="1" x14ac:dyDescent="0.25">
      <c r="A23" s="10">
        <v>5</v>
      </c>
      <c r="B23" s="7" t="str">
        <f>'DANH SÁCH'!C12</f>
        <v>NGUYỄN VĂN TÚ</v>
      </c>
      <c r="C23" s="72" t="str">
        <f>'DANH SÁCH'!D12</f>
        <v>23/12/1984</v>
      </c>
      <c r="D23" s="8" t="str">
        <f>'DANH SÁCH'!F12</f>
        <v>144/1A Lê Tấn Bê P. An Lạc, Q. Bình Tân, TP. Hồ Chí Minh</v>
      </c>
      <c r="E23" s="6"/>
      <c r="F23" s="9"/>
      <c r="G23" s="9"/>
    </row>
    <row r="25" spans="1:7" ht="30" customHeight="1" x14ac:dyDescent="0.3">
      <c r="A25" s="17"/>
      <c r="B25" s="19" t="s">
        <v>34</v>
      </c>
      <c r="C25" s="71" t="s">
        <v>94</v>
      </c>
      <c r="D25" s="18" t="s">
        <v>9</v>
      </c>
      <c r="E25" s="20" t="s">
        <v>11</v>
      </c>
      <c r="F25" s="22" t="s">
        <v>10</v>
      </c>
      <c r="G25" s="20" t="s">
        <v>35</v>
      </c>
    </row>
    <row r="26" spans="1:7" ht="30" customHeight="1" x14ac:dyDescent="0.3">
      <c r="A26" s="17"/>
      <c r="B26" s="19" t="s">
        <v>95</v>
      </c>
      <c r="C26" s="243" t="s">
        <v>96</v>
      </c>
      <c r="D26" s="244"/>
      <c r="E26" s="21" t="s">
        <v>1</v>
      </c>
      <c r="F26" s="245" t="s">
        <v>53</v>
      </c>
      <c r="G26" s="245"/>
    </row>
    <row r="27" spans="1:7" ht="30" customHeight="1" x14ac:dyDescent="0.25"/>
    <row r="28" spans="1:7" ht="30" customHeight="1" x14ac:dyDescent="0.25">
      <c r="A28" s="242" t="s">
        <v>0</v>
      </c>
      <c r="B28" s="242"/>
      <c r="C28" s="242"/>
      <c r="D28" s="242"/>
      <c r="E28" s="242"/>
      <c r="F28" s="242"/>
      <c r="G28" s="242"/>
    </row>
    <row r="29" spans="1:7" ht="30" customHeight="1" x14ac:dyDescent="0.25"/>
    <row r="30" spans="1:7" ht="60" customHeight="1" x14ac:dyDescent="0.25">
      <c r="A30" s="3" t="s">
        <v>2</v>
      </c>
      <c r="B30" s="4" t="s">
        <v>3</v>
      </c>
      <c r="C30" s="5" t="s">
        <v>4</v>
      </c>
      <c r="D30" s="3" t="s">
        <v>5</v>
      </c>
      <c r="E30" s="3" t="s">
        <v>6</v>
      </c>
      <c r="F30" s="3" t="s">
        <v>7</v>
      </c>
      <c r="G30" s="3" t="s">
        <v>8</v>
      </c>
    </row>
    <row r="31" spans="1:7" ht="69.95" customHeight="1" x14ac:dyDescent="0.25">
      <c r="A31" s="6">
        <v>1</v>
      </c>
      <c r="B31" s="7" t="str">
        <f>'DANH SÁCH'!C13</f>
        <v>NGUYỄN THỊ THU HỒNG</v>
      </c>
      <c r="C31" s="72" t="str">
        <f>'DANH SÁCH'!D13</f>
        <v>10/06/2003</v>
      </c>
      <c r="D31" s="8" t="str">
        <f>'DANH SÁCH'!F13</f>
        <v>20/5A Kp Tây P. Vĩnh Phú, TP. Thuận An, T. Bình Dương</v>
      </c>
      <c r="E31" s="6"/>
      <c r="F31" s="9"/>
      <c r="G31" s="9"/>
    </row>
    <row r="32" spans="1:7" ht="69.95" customHeight="1" x14ac:dyDescent="0.25">
      <c r="A32" s="6">
        <v>2</v>
      </c>
      <c r="B32" s="7" t="str">
        <f>'DANH SÁCH'!C14</f>
        <v>PHAN THỊ KIM HUỆ</v>
      </c>
      <c r="C32" s="72" t="str">
        <f>'DANH SÁCH'!D14</f>
        <v>10/01/1982</v>
      </c>
      <c r="D32" s="8" t="str">
        <f>'DANH SÁCH'!F14</f>
        <v>Thôn 3 X. Liên Đầm, H. Di Linh, T. Lâm Đồng</v>
      </c>
      <c r="E32" s="6"/>
      <c r="F32" s="9"/>
      <c r="G32" s="9"/>
    </row>
    <row r="33" spans="1:7" ht="69.95" customHeight="1" x14ac:dyDescent="0.25">
      <c r="A33" s="6">
        <v>3</v>
      </c>
      <c r="B33" s="7" t="str">
        <f>'DANH SÁCH'!C15</f>
        <v>LÊ THỊ YẾN NHI</v>
      </c>
      <c r="C33" s="72" t="str">
        <f>'DANH SÁCH'!D15</f>
        <v>30/06/1993</v>
      </c>
      <c r="D33" s="8" t="str">
        <f>'DANH SÁCH'!F15</f>
        <v>5.04 Tháp C1 KNƠCT CT Saphire P. Phú Hữu, TP. Thủ Đức, TP. Hồ Chí Minh</v>
      </c>
      <c r="E33" s="6"/>
      <c r="F33" s="9"/>
      <c r="G33" s="9"/>
    </row>
    <row r="34" spans="1:7" ht="69.95" customHeight="1" x14ac:dyDescent="0.25">
      <c r="A34" s="6">
        <v>4</v>
      </c>
      <c r="B34" s="7" t="str">
        <f>'DANH SÁCH'!C16</f>
        <v>PHAN THỊ DIỆU THÚY</v>
      </c>
      <c r="C34" s="72" t="str">
        <f>'DANH SÁCH'!D16</f>
        <v>19/12/1993</v>
      </c>
      <c r="D34" s="8" t="str">
        <f>'DANH SÁCH'!F16</f>
        <v>T3-B25.05 Knở Ctkhtmdv P. Thảo Điền, TP. Thủ Đức, TP. Hồ Chí Minh</v>
      </c>
      <c r="E34" s="6"/>
      <c r="F34" s="9"/>
      <c r="G34" s="9"/>
    </row>
    <row r="35" spans="1:7" ht="69.95" customHeight="1" x14ac:dyDescent="0.25">
      <c r="A35" s="10">
        <v>5</v>
      </c>
      <c r="B35" s="7" t="str">
        <f>'DANH SÁCH'!C17</f>
        <v>BÙI VĂN HÙNG</v>
      </c>
      <c r="C35" s="72" t="str">
        <f>'DANH SÁCH'!D17</f>
        <v>11/04/1998</v>
      </c>
      <c r="D35" s="8" t="str">
        <f>'DANH SÁCH'!F17</f>
        <v>Thôn Đạ Sơn X. Đạ K' Nàng, H. Đam Rông, T. Lâm Đồng</v>
      </c>
      <c r="E35" s="6"/>
      <c r="F35" s="9"/>
      <c r="G35" s="9"/>
    </row>
    <row r="37" spans="1:7" ht="30" customHeight="1" x14ac:dyDescent="0.3">
      <c r="A37" s="17"/>
      <c r="B37" s="19" t="s">
        <v>34</v>
      </c>
      <c r="C37" s="71" t="s">
        <v>94</v>
      </c>
      <c r="D37" s="18" t="s">
        <v>9</v>
      </c>
      <c r="E37" s="20" t="s">
        <v>11</v>
      </c>
      <c r="F37" s="22" t="s">
        <v>10</v>
      </c>
      <c r="G37" s="20" t="s">
        <v>35</v>
      </c>
    </row>
    <row r="38" spans="1:7" ht="30" customHeight="1" x14ac:dyDescent="0.3">
      <c r="A38" s="17"/>
      <c r="B38" s="19" t="s">
        <v>95</v>
      </c>
      <c r="C38" s="243" t="s">
        <v>96</v>
      </c>
      <c r="D38" s="244"/>
      <c r="E38" s="21" t="s">
        <v>1</v>
      </c>
      <c r="F38" s="245" t="s">
        <v>53</v>
      </c>
      <c r="G38" s="245"/>
    </row>
    <row r="39" spans="1:7" ht="30" customHeight="1" x14ac:dyDescent="0.25"/>
    <row r="40" spans="1:7" ht="30" customHeight="1" x14ac:dyDescent="0.25">
      <c r="A40" s="242" t="s">
        <v>0</v>
      </c>
      <c r="B40" s="242"/>
      <c r="C40" s="242"/>
      <c r="D40" s="242"/>
      <c r="E40" s="242"/>
      <c r="F40" s="242"/>
      <c r="G40" s="242"/>
    </row>
    <row r="41" spans="1:7" ht="30" customHeight="1" x14ac:dyDescent="0.25"/>
    <row r="42" spans="1:7" ht="60" customHeight="1" x14ac:dyDescent="0.25">
      <c r="A42" s="3" t="s">
        <v>2</v>
      </c>
      <c r="B42" s="4" t="s">
        <v>3</v>
      </c>
      <c r="C42" s="5" t="s">
        <v>4</v>
      </c>
      <c r="D42" s="3" t="s">
        <v>5</v>
      </c>
      <c r="E42" s="3" t="s">
        <v>6</v>
      </c>
      <c r="F42" s="3" t="s">
        <v>7</v>
      </c>
      <c r="G42" s="3" t="s">
        <v>8</v>
      </c>
    </row>
    <row r="43" spans="1:7" ht="69.95" customHeight="1" x14ac:dyDescent="0.25">
      <c r="A43" s="6">
        <v>1</v>
      </c>
      <c r="B43" s="7" t="str">
        <f>'DANH SÁCH'!C18</f>
        <v>NGUYỄN THỊ BÍCH NGỌC</v>
      </c>
      <c r="C43" s="72" t="str">
        <f>'DANH SÁCH'!D18</f>
        <v>15/07/1990</v>
      </c>
      <c r="D43" s="8" t="str">
        <f>'DANH SÁCH'!F18</f>
        <v>2 Trung Lang P.12, Q. Tân Bình, TP. Hồ Chí Minh</v>
      </c>
      <c r="E43" s="6"/>
      <c r="F43" s="9"/>
      <c r="G43" s="9"/>
    </row>
    <row r="44" spans="1:7" ht="69.95" customHeight="1" x14ac:dyDescent="0.25">
      <c r="A44" s="6">
        <v>2</v>
      </c>
      <c r="B44" s="7" t="str">
        <f>'DANH SÁCH'!C19</f>
        <v>DƯƠNG YẾN NHI</v>
      </c>
      <c r="C44" s="72" t="str">
        <f>'DANH SÁCH'!D19</f>
        <v>14/10/2005</v>
      </c>
      <c r="D44" s="8" t="str">
        <f>'DANH SÁCH'!F19</f>
        <v>F12/16 Tổ 1 Ấp 6A X. Vĩnh Lộc A, H. Bình Chánh, TP. Hồ Chí Minh</v>
      </c>
      <c r="E44" s="6"/>
      <c r="F44" s="9"/>
      <c r="G44" s="9"/>
    </row>
    <row r="45" spans="1:7" ht="69.95" customHeight="1" x14ac:dyDescent="0.25">
      <c r="A45" s="6">
        <v>3</v>
      </c>
      <c r="B45" s="7" t="str">
        <f>'DANH SÁCH'!C20</f>
        <v>NGUYỄN THỊ DÒN</v>
      </c>
      <c r="C45" s="72" t="str">
        <f>'DANH SÁCH'!D20</f>
        <v>27/09/1973</v>
      </c>
      <c r="D45" s="8" t="str">
        <f>'DANH SÁCH'!F20</f>
        <v>Ấp 1 X. Tam Hiệp, H. Châu Thành, T. Tiền Giang</v>
      </c>
      <c r="E45" s="6"/>
      <c r="F45" s="9"/>
      <c r="G45" s="9"/>
    </row>
    <row r="46" spans="1:7" ht="69.95" customHeight="1" x14ac:dyDescent="0.25">
      <c r="A46" s="6">
        <v>4</v>
      </c>
      <c r="B46" s="7" t="str">
        <f>'DANH SÁCH'!C21</f>
        <v>NGUYỄN THIỀU KIỀU DUNG</v>
      </c>
      <c r="C46" s="72" t="str">
        <f>'DANH SÁCH'!D21</f>
        <v>25/04/1998</v>
      </c>
      <c r="D46" s="8" t="str">
        <f>'DANH SÁCH'!F21</f>
        <v>A3/42B/3 Tổ 2 Ấp 1A X. Vĩnh Lộc A, H. Bình Chánh, TP. Hồ Chí Minh</v>
      </c>
      <c r="E46" s="6"/>
      <c r="F46" s="9"/>
      <c r="G46" s="9"/>
    </row>
    <row r="47" spans="1:7" ht="69.95" customHeight="1" x14ac:dyDescent="0.25">
      <c r="A47" s="10">
        <v>5</v>
      </c>
      <c r="B47" s="7" t="str">
        <f>'DANH SÁCH'!C22</f>
        <v>NGUYỄN THỊ CÁC TƯỜNG</v>
      </c>
      <c r="C47" s="72" t="str">
        <f>'DANH SÁCH'!D22</f>
        <v>26/03/2001</v>
      </c>
      <c r="D47" s="8" t="str">
        <f>'DANH SÁCH'!F22</f>
        <v>Ấp 1 X. Tân Nghĩa, H. Cao Lãnh, T. Đồng Tháp</v>
      </c>
      <c r="E47" s="6"/>
      <c r="F47" s="9"/>
      <c r="G47" s="9"/>
    </row>
    <row r="49" spans="1:7" ht="30" customHeight="1" x14ac:dyDescent="0.3">
      <c r="A49" s="17"/>
      <c r="B49" s="19" t="s">
        <v>34</v>
      </c>
      <c r="C49" s="71" t="s">
        <v>94</v>
      </c>
      <c r="D49" s="18" t="s">
        <v>9</v>
      </c>
      <c r="E49" s="20" t="s">
        <v>11</v>
      </c>
      <c r="F49" s="22" t="s">
        <v>10</v>
      </c>
      <c r="G49" s="20" t="s">
        <v>35</v>
      </c>
    </row>
    <row r="50" spans="1:7" ht="30" customHeight="1" x14ac:dyDescent="0.3">
      <c r="A50" s="17"/>
      <c r="B50" s="19" t="s">
        <v>95</v>
      </c>
      <c r="C50" s="243" t="s">
        <v>96</v>
      </c>
      <c r="D50" s="244"/>
      <c r="E50" s="21" t="s">
        <v>1</v>
      </c>
      <c r="F50" s="245" t="s">
        <v>53</v>
      </c>
      <c r="G50" s="245"/>
    </row>
    <row r="51" spans="1:7" ht="30" customHeight="1" x14ac:dyDescent="0.25"/>
    <row r="52" spans="1:7" ht="30" customHeight="1" x14ac:dyDescent="0.25">
      <c r="A52" s="242" t="s">
        <v>0</v>
      </c>
      <c r="B52" s="242"/>
      <c r="C52" s="242"/>
      <c r="D52" s="242"/>
      <c r="E52" s="242"/>
      <c r="F52" s="242"/>
      <c r="G52" s="242"/>
    </row>
    <row r="53" spans="1:7" ht="30" customHeight="1" x14ac:dyDescent="0.25"/>
    <row r="54" spans="1:7" ht="60" customHeight="1" x14ac:dyDescent="0.25">
      <c r="A54" s="3" t="s">
        <v>2</v>
      </c>
      <c r="B54" s="4" t="s">
        <v>3</v>
      </c>
      <c r="C54" s="5" t="s">
        <v>4</v>
      </c>
      <c r="D54" s="3" t="s">
        <v>5</v>
      </c>
      <c r="E54" s="3" t="s">
        <v>6</v>
      </c>
      <c r="F54" s="3" t="s">
        <v>7</v>
      </c>
      <c r="G54" s="3" t="s">
        <v>8</v>
      </c>
    </row>
    <row r="55" spans="1:7" ht="69.95" customHeight="1" x14ac:dyDescent="0.25">
      <c r="A55" s="6">
        <v>1</v>
      </c>
      <c r="B55" s="7" t="str">
        <f>'DANH SÁCH'!C23</f>
        <v>PHẠM VŨ THÚY VY</v>
      </c>
      <c r="C55" s="72" t="str">
        <f>'DANH SÁCH'!D23</f>
        <v>17/02/1993</v>
      </c>
      <c r="D55" s="8" t="str">
        <f>'DANH SÁCH'!F23</f>
        <v>319 Quốc Lộ 1 P. 6, TP. Sóc Trăng, T. Sóc Trăng</v>
      </c>
      <c r="E55" s="6"/>
      <c r="F55" s="9"/>
      <c r="G55" s="9"/>
    </row>
    <row r="56" spans="1:7" ht="69.95" customHeight="1" x14ac:dyDescent="0.25">
      <c r="A56" s="6">
        <v>2</v>
      </c>
      <c r="B56" s="7" t="str">
        <f>'DANH SÁCH'!C24</f>
        <v>NGUYỄN THỊ HỒNG NGỌC</v>
      </c>
      <c r="C56" s="72" t="str">
        <f>'DANH SÁCH'!D24</f>
        <v>13/05/2001</v>
      </c>
      <c r="D56" s="8" t="str">
        <f>'DANH SÁCH'!F24</f>
        <v>Ấp Ông Non X. Tân Trung, TX. Gò Công, T. Tiền Giang</v>
      </c>
      <c r="E56" s="6"/>
      <c r="F56" s="9"/>
      <c r="G56" s="9"/>
    </row>
    <row r="57" spans="1:7" ht="69.95" customHeight="1" x14ac:dyDescent="0.25">
      <c r="A57" s="6">
        <v>3</v>
      </c>
      <c r="B57" s="7" t="str">
        <f>'DANH SÁCH'!C25</f>
        <v>NGÔ VĂN CẦN</v>
      </c>
      <c r="C57" s="72" t="str">
        <f>'DANH SÁCH'!D25</f>
        <v>11/09/1997</v>
      </c>
      <c r="D57" s="8" t="str">
        <f>'DANH SÁCH'!F25</f>
        <v>Xóm 13 X. Yên Nhân, H. ý Yên, T. Nam Định</v>
      </c>
      <c r="E57" s="6"/>
      <c r="F57" s="9"/>
      <c r="G57" s="9"/>
    </row>
    <row r="58" spans="1:7" ht="69.95" customHeight="1" x14ac:dyDescent="0.25">
      <c r="A58" s="6">
        <v>4</v>
      </c>
      <c r="B58" s="7" t="str">
        <f>'DANH SÁCH'!C26</f>
        <v>VŨ VĂN HOÀNH</v>
      </c>
      <c r="C58" s="72" t="str">
        <f>'DANH SÁCH'!D26</f>
        <v>11/12/1968</v>
      </c>
      <c r="D58" s="8" t="str">
        <f>'DANH SÁCH'!F26</f>
        <v>244/20/12 Kp4 P. Thới An, Q.12, TP. Hồ Chí Minh</v>
      </c>
      <c r="E58" s="6"/>
      <c r="F58" s="9"/>
      <c r="G58" s="9"/>
    </row>
    <row r="59" spans="1:7" ht="69.95" customHeight="1" x14ac:dyDescent="0.25">
      <c r="A59" s="10">
        <v>5</v>
      </c>
      <c r="B59" s="7" t="str">
        <f>'DANH SÁCH'!C27</f>
        <v>NGÔ MINH VƯƠNG</v>
      </c>
      <c r="C59" s="72" t="str">
        <f>'DANH SÁCH'!D27</f>
        <v>16/01/1992</v>
      </c>
      <c r="D59" s="8" t="str">
        <f>'DANH SÁCH'!F27</f>
        <v>41/23/9 Tổ 10 Kp4 P. Tân Thới Hiệp, Q.12, TP. Hồ Chí Minh</v>
      </c>
      <c r="E59" s="6"/>
      <c r="F59" s="9"/>
      <c r="G59" s="9"/>
    </row>
    <row r="61" spans="1:7" ht="30" customHeight="1" x14ac:dyDescent="0.3">
      <c r="A61" s="17"/>
      <c r="B61" s="19" t="s">
        <v>34</v>
      </c>
      <c r="C61" s="71" t="s">
        <v>94</v>
      </c>
      <c r="D61" s="18" t="s">
        <v>9</v>
      </c>
      <c r="E61" s="20" t="s">
        <v>11</v>
      </c>
      <c r="F61" s="22" t="s">
        <v>10</v>
      </c>
      <c r="G61" s="20" t="s">
        <v>35</v>
      </c>
    </row>
    <row r="62" spans="1:7" ht="30" customHeight="1" x14ac:dyDescent="0.3">
      <c r="A62" s="17"/>
      <c r="B62" s="19" t="s">
        <v>95</v>
      </c>
      <c r="C62" s="243" t="s">
        <v>96</v>
      </c>
      <c r="D62" s="244"/>
      <c r="E62" s="21" t="s">
        <v>1</v>
      </c>
      <c r="F62" s="245" t="s">
        <v>53</v>
      </c>
      <c r="G62" s="245"/>
    </row>
    <row r="63" spans="1:7" ht="30" customHeight="1" x14ac:dyDescent="0.25"/>
    <row r="64" spans="1:7" ht="30" customHeight="1" x14ac:dyDescent="0.25">
      <c r="A64" s="242" t="s">
        <v>0</v>
      </c>
      <c r="B64" s="242"/>
      <c r="C64" s="242"/>
      <c r="D64" s="242"/>
      <c r="E64" s="242"/>
      <c r="F64" s="242"/>
      <c r="G64" s="242"/>
    </row>
    <row r="65" spans="1:7" ht="30" customHeight="1" x14ac:dyDescent="0.25"/>
    <row r="66" spans="1:7" ht="60" customHeight="1" x14ac:dyDescent="0.25">
      <c r="A66" s="3" t="s">
        <v>2</v>
      </c>
      <c r="B66" s="4" t="s">
        <v>3</v>
      </c>
      <c r="C66" s="5" t="s">
        <v>4</v>
      </c>
      <c r="D66" s="3" t="s">
        <v>5</v>
      </c>
      <c r="E66" s="3" t="s">
        <v>6</v>
      </c>
      <c r="F66" s="3" t="s">
        <v>7</v>
      </c>
      <c r="G66" s="3" t="s">
        <v>8</v>
      </c>
    </row>
    <row r="67" spans="1:7" ht="69.95" customHeight="1" x14ac:dyDescent="0.25">
      <c r="A67" s="6">
        <v>1</v>
      </c>
      <c r="B67" s="7" t="str">
        <f>'DANH SÁCH'!C28</f>
        <v>NGUYỄN THỊ NGỌC HÂN</v>
      </c>
      <c r="C67" s="72" t="str">
        <f>'DANH SÁCH'!D28</f>
        <v>15/06/2004</v>
      </c>
      <c r="D67" s="8" t="str">
        <f>'DANH SÁCH'!F28</f>
        <v>56/2 Đ. Số 8B P. Bình Hưng Hòa A, Q. Bình Tân, TP. Hồ Chí Minh</v>
      </c>
      <c r="E67" s="6"/>
      <c r="F67" s="9"/>
      <c r="G67" s="9"/>
    </row>
    <row r="68" spans="1:7" ht="69.95" customHeight="1" x14ac:dyDescent="0.25">
      <c r="A68" s="6">
        <v>2</v>
      </c>
      <c r="B68" s="7" t="str">
        <f>'DANH SÁCH'!C29</f>
        <v>TRƯƠNG THÚY LAN</v>
      </c>
      <c r="C68" s="72" t="str">
        <f>'DANH SÁCH'!D29</f>
        <v>04/06/1980</v>
      </c>
      <c r="D68" s="8" t="str">
        <f>'DANH SÁCH'!F29</f>
        <v>479/11 Điện Biên Phủ P.25, Q. Bình Thạnh, TP. Hồ Chí Minh</v>
      </c>
      <c r="E68" s="6"/>
      <c r="F68" s="9"/>
      <c r="G68" s="9"/>
    </row>
    <row r="69" spans="1:7" ht="69.95" customHeight="1" x14ac:dyDescent="0.25">
      <c r="A69" s="6">
        <v>3</v>
      </c>
      <c r="B69" s="7" t="str">
        <f>'DANH SÁCH'!C30</f>
        <v>NGUYỄN LƯU KIỀU NHI</v>
      </c>
      <c r="C69" s="72" t="str">
        <f>'DANH SÁCH'!D30</f>
        <v>06/10/1995</v>
      </c>
      <c r="D69" s="8" t="str">
        <f>'DANH SÁCH'!F30</f>
        <v>150 Hồ Tùng Mậu P.1, TP. Bảo Lộc, T. Lâm Đồng</v>
      </c>
      <c r="E69" s="6"/>
      <c r="F69" s="9"/>
      <c r="G69" s="9"/>
    </row>
    <row r="70" spans="1:7" ht="69.95" customHeight="1" x14ac:dyDescent="0.25">
      <c r="A70" s="6">
        <v>4</v>
      </c>
      <c r="B70" s="7" t="str">
        <f>'DANH SÁCH'!C31</f>
        <v>HÀ KIỀU TRINH</v>
      </c>
      <c r="C70" s="72" t="str">
        <f>'DANH SÁCH'!D31</f>
        <v>27/11/2006</v>
      </c>
      <c r="D70" s="8" t="str">
        <f>'DANH SÁCH'!F31</f>
        <v>609/16/1 Nguyễn Ảnh Thủ Kp4 P. Hiệp Thành, Q.12, TP. Hồ Chí Minh</v>
      </c>
      <c r="E70" s="6"/>
      <c r="F70" s="9"/>
      <c r="G70" s="9"/>
    </row>
    <row r="71" spans="1:7" ht="69.95" customHeight="1" x14ac:dyDescent="0.25">
      <c r="A71" s="10">
        <v>5</v>
      </c>
      <c r="B71" s="7" t="str">
        <f>'DANH SÁCH'!C32</f>
        <v>TRƯƠNG THỊ CÁT TƯỜNG</v>
      </c>
      <c r="C71" s="72" t="str">
        <f>'DANH SÁCH'!D32</f>
        <v>25/10/1999</v>
      </c>
      <c r="D71" s="8" t="str">
        <f>'DANH SÁCH'!F32</f>
        <v>Thôn 2 X. Ia HLốp, H. Chư Sê, T. Gia Lai</v>
      </c>
      <c r="E71" s="6"/>
      <c r="F71" s="9"/>
      <c r="G71" s="9"/>
    </row>
    <row r="73" spans="1:7" ht="30" customHeight="1" x14ac:dyDescent="0.3">
      <c r="A73" s="17"/>
      <c r="B73" s="19" t="s">
        <v>34</v>
      </c>
      <c r="C73" s="71" t="s">
        <v>94</v>
      </c>
      <c r="D73" s="18" t="s">
        <v>9</v>
      </c>
      <c r="E73" s="20" t="s">
        <v>11</v>
      </c>
      <c r="F73" s="22" t="s">
        <v>10</v>
      </c>
      <c r="G73" s="20" t="s">
        <v>35</v>
      </c>
    </row>
    <row r="74" spans="1:7" ht="30" customHeight="1" x14ac:dyDescent="0.3">
      <c r="A74" s="17"/>
      <c r="B74" s="19" t="s">
        <v>95</v>
      </c>
      <c r="C74" s="243" t="s">
        <v>96</v>
      </c>
      <c r="D74" s="244"/>
      <c r="E74" s="21" t="s">
        <v>1</v>
      </c>
      <c r="F74" s="245" t="s">
        <v>53</v>
      </c>
      <c r="G74" s="245"/>
    </row>
    <row r="75" spans="1:7" ht="30" customHeight="1" x14ac:dyDescent="0.25"/>
    <row r="76" spans="1:7" ht="30" customHeight="1" x14ac:dyDescent="0.25">
      <c r="A76" s="242" t="s">
        <v>0</v>
      </c>
      <c r="B76" s="242"/>
      <c r="C76" s="242"/>
      <c r="D76" s="242"/>
      <c r="E76" s="242"/>
      <c r="F76" s="242"/>
      <c r="G76" s="242"/>
    </row>
    <row r="77" spans="1:7" ht="30" customHeight="1" x14ac:dyDescent="0.25"/>
    <row r="78" spans="1:7" ht="60" customHeight="1" x14ac:dyDescent="0.25">
      <c r="A78" s="3" t="s">
        <v>2</v>
      </c>
      <c r="B78" s="4" t="s">
        <v>3</v>
      </c>
      <c r="C78" s="5" t="s">
        <v>4</v>
      </c>
      <c r="D78" s="3" t="s">
        <v>5</v>
      </c>
      <c r="E78" s="3" t="s">
        <v>6</v>
      </c>
      <c r="F78" s="3" t="s">
        <v>7</v>
      </c>
      <c r="G78" s="3" t="s">
        <v>8</v>
      </c>
    </row>
    <row r="79" spans="1:7" ht="69.95" customHeight="1" x14ac:dyDescent="0.25">
      <c r="A79" s="6">
        <v>1</v>
      </c>
      <c r="B79" s="7" t="str">
        <f>'DANH SÁCH'!C33</f>
        <v>LÊ QUANG HIỀN</v>
      </c>
      <c r="C79" s="72" t="str">
        <f>'DANH SÁCH'!D33</f>
        <v>04/10/1986</v>
      </c>
      <c r="D79" s="8" t="str">
        <f>'DANH SÁCH'!F33</f>
        <v>Tổ 71 Ấp Cây Trâm X. Phú Hòa Đông, H. Củ Chi, TP. Hồ Chí Minh</v>
      </c>
      <c r="E79" s="6"/>
      <c r="F79" s="9"/>
      <c r="G79" s="9"/>
    </row>
    <row r="80" spans="1:7" ht="69.95" customHeight="1" x14ac:dyDescent="0.25">
      <c r="A80" s="6">
        <v>2</v>
      </c>
      <c r="B80" s="7" t="str">
        <f>'DANH SÁCH'!C34</f>
        <v>PHẠM THỊ HOA</v>
      </c>
      <c r="C80" s="72" t="str">
        <f>'DANH SÁCH'!D34</f>
        <v>16/09/1990</v>
      </c>
      <c r="D80" s="8" t="str">
        <f>'DANH SÁCH'!F34</f>
        <v>34/46 ĐLBD Kp3 P. Phú Hòa, TP. Thủ Dầu Một, T. Bình Dương</v>
      </c>
      <c r="E80" s="6"/>
      <c r="F80" s="9"/>
      <c r="G80" s="9"/>
    </row>
    <row r="81" spans="1:7" ht="69.95" customHeight="1" x14ac:dyDescent="0.25">
      <c r="A81" s="6">
        <v>3</v>
      </c>
      <c r="B81" s="7" t="str">
        <f>'DANH SÁCH'!C35</f>
        <v>TRẦN THÀNH NHÂN</v>
      </c>
      <c r="C81" s="72" t="str">
        <f>'DANH SÁCH'!D35</f>
        <v>09/01/1987</v>
      </c>
      <c r="D81" s="8" t="str">
        <f>'DANH SÁCH'!F35</f>
        <v>Tổ 12 Ấp Chợ X. Phước Thạnh, H. Củ Chi, TP. Hồ Chí Minh</v>
      </c>
      <c r="E81" s="6"/>
      <c r="F81" s="9"/>
      <c r="G81" s="9"/>
    </row>
    <row r="82" spans="1:7" ht="69.95" customHeight="1" x14ac:dyDescent="0.25">
      <c r="A82" s="6">
        <v>4</v>
      </c>
      <c r="B82" s="7" t="str">
        <f>'DANH SÁCH'!C36</f>
        <v>IN SÙI KHÍU</v>
      </c>
      <c r="C82" s="72" t="str">
        <f>'DANH SÁCH'!D36</f>
        <v>06/12/1990</v>
      </c>
      <c r="D82" s="8" t="str">
        <f>'DANH SÁCH'!F36</f>
        <v>Ấp 5 X. Phú Lợi, H. Định Quán, T. Đồng Nai</v>
      </c>
      <c r="E82" s="6"/>
      <c r="F82" s="9"/>
      <c r="G82" s="9"/>
    </row>
    <row r="83" spans="1:7" ht="69.95" customHeight="1" x14ac:dyDescent="0.25">
      <c r="A83" s="10">
        <v>5</v>
      </c>
      <c r="B83" s="7" t="str">
        <f>'DANH SÁCH'!C37</f>
        <v>PHẠM VĂN HOAN</v>
      </c>
      <c r="C83" s="72" t="str">
        <f>'DANH SÁCH'!D37</f>
        <v>20/05/1981</v>
      </c>
      <c r="D83" s="8" t="str">
        <f>'DANH SÁCH'!F37</f>
        <v>Ấp Rạch Đá X. Định Thành, H. Dầu Tiếng, T. Bình Dương</v>
      </c>
      <c r="E83" s="6"/>
      <c r="F83" s="9"/>
      <c r="G83" s="9"/>
    </row>
    <row r="85" spans="1:7" ht="30" customHeight="1" x14ac:dyDescent="0.3">
      <c r="A85" s="17"/>
      <c r="B85" s="19" t="s">
        <v>34</v>
      </c>
      <c r="C85" s="71" t="s">
        <v>94</v>
      </c>
      <c r="D85" s="18" t="s">
        <v>9</v>
      </c>
      <c r="E85" s="20" t="s">
        <v>11</v>
      </c>
      <c r="F85" s="22" t="s">
        <v>10</v>
      </c>
      <c r="G85" s="20" t="s">
        <v>35</v>
      </c>
    </row>
    <row r="86" spans="1:7" ht="30" customHeight="1" x14ac:dyDescent="0.3">
      <c r="A86" s="17"/>
      <c r="B86" s="19" t="s">
        <v>95</v>
      </c>
      <c r="C86" s="243" t="s">
        <v>96</v>
      </c>
      <c r="D86" s="244"/>
      <c r="E86" s="21" t="s">
        <v>1</v>
      </c>
      <c r="F86" s="245" t="s">
        <v>53</v>
      </c>
      <c r="G86" s="245"/>
    </row>
    <row r="87" spans="1:7" ht="30" customHeight="1" x14ac:dyDescent="0.25"/>
    <row r="88" spans="1:7" ht="30" customHeight="1" x14ac:dyDescent="0.25">
      <c r="A88" s="242" t="s">
        <v>0</v>
      </c>
      <c r="B88" s="242"/>
      <c r="C88" s="242"/>
      <c r="D88" s="242"/>
      <c r="E88" s="242"/>
      <c r="F88" s="242"/>
      <c r="G88" s="242"/>
    </row>
    <row r="89" spans="1:7" ht="30" customHeight="1" x14ac:dyDescent="0.25"/>
    <row r="90" spans="1:7" ht="60" customHeight="1" x14ac:dyDescent="0.25">
      <c r="A90" s="3" t="s">
        <v>2</v>
      </c>
      <c r="B90" s="4" t="s">
        <v>3</v>
      </c>
      <c r="C90" s="5" t="s">
        <v>4</v>
      </c>
      <c r="D90" s="3" t="s">
        <v>5</v>
      </c>
      <c r="E90" s="3" t="s">
        <v>6</v>
      </c>
      <c r="F90" s="3" t="s">
        <v>7</v>
      </c>
      <c r="G90" s="3" t="s">
        <v>8</v>
      </c>
    </row>
    <row r="91" spans="1:7" ht="69.95" customHeight="1" x14ac:dyDescent="0.25">
      <c r="A91" s="6">
        <v>1</v>
      </c>
      <c r="B91" s="7" t="str">
        <f>'DANH SÁCH'!C38</f>
        <v>NGUYỄN PHAN THU HUYỀN</v>
      </c>
      <c r="C91" s="72" t="str">
        <f>'DANH SÁCH'!D38</f>
        <v>02/07/1995</v>
      </c>
      <c r="D91" s="8" t="str">
        <f>'DANH SÁCH'!F38</f>
        <v>Khu Phố 4B TT. Dầu Tiếng, H. Dầu Tiếng, T. Bình Dương</v>
      </c>
      <c r="E91" s="6"/>
      <c r="F91" s="9"/>
      <c r="G91" s="9"/>
    </row>
    <row r="92" spans="1:7" ht="69.95" customHeight="1" x14ac:dyDescent="0.25">
      <c r="A92" s="6">
        <v>2</v>
      </c>
      <c r="B92" s="7" t="str">
        <f>'DANH SÁCH'!C39</f>
        <v>SU LIUQIAO</v>
      </c>
      <c r="C92" s="72" t="str">
        <f>'DANH SÁCH'!D39</f>
        <v>08/02/1988</v>
      </c>
      <c r="D92" s="8" t="str">
        <f>'DANH SÁCH'!F39</f>
        <v>B83-84 Kdc Việt Sing P. An Phú, TP. Thuận An, T. Bình Dương</v>
      </c>
      <c r="E92" s="6"/>
      <c r="F92" s="9"/>
      <c r="G92" s="9"/>
    </row>
    <row r="93" spans="1:7" ht="69.95" customHeight="1" x14ac:dyDescent="0.25">
      <c r="A93" s="6">
        <v>3</v>
      </c>
      <c r="B93" s="7" t="str">
        <f>'DANH SÁCH'!C40</f>
        <v>LA THANH THÙY</v>
      </c>
      <c r="C93" s="72" t="str">
        <f>'DANH SÁCH'!D40</f>
        <v>20/04/1995</v>
      </c>
      <c r="D93" s="8" t="str">
        <f>'DANH SÁCH'!F40</f>
        <v>Khu Phố 4B TT. Dầu Tiếng, H. Dầu Tiếng, T. Bình Dương</v>
      </c>
      <c r="E93" s="6"/>
      <c r="F93" s="9"/>
      <c r="G93" s="9"/>
    </row>
    <row r="94" spans="1:7" ht="69.95" customHeight="1" x14ac:dyDescent="0.25">
      <c r="A94" s="6">
        <v>4</v>
      </c>
      <c r="B94" s="7" t="str">
        <f>'DANH SÁCH'!C41</f>
        <v>DƯƠNG MỸ TRANG</v>
      </c>
      <c r="C94" s="72" t="str">
        <f>'DANH SÁCH'!D41</f>
        <v>10/08/1986</v>
      </c>
      <c r="D94" s="8" t="str">
        <f>'DANH SÁCH'!F41</f>
        <v>Ấp Bàu Dầu X. Định An, H. Dầu Tiếng, T. Bình Dương</v>
      </c>
      <c r="E94" s="6"/>
      <c r="F94" s="9"/>
      <c r="G94" s="9"/>
    </row>
    <row r="95" spans="1:7" ht="69.95" customHeight="1" x14ac:dyDescent="0.25">
      <c r="A95" s="10">
        <v>5</v>
      </c>
      <c r="B95" s="7" t="str">
        <f>'DANH SÁCH'!C42</f>
        <v>HUỲNH THỊ Ý</v>
      </c>
      <c r="C95" s="72" t="str">
        <f>'DANH SÁCH'!D42</f>
        <v>12/03/1991</v>
      </c>
      <c r="D95" s="8" t="str">
        <f>'DANH SÁCH'!F42</f>
        <v>Khu Phố 2 TT. Dầu Tiếng, H. Dầu Tiếng, T. Bình Dương</v>
      </c>
      <c r="E95" s="6"/>
      <c r="F95" s="9"/>
      <c r="G95" s="9"/>
    </row>
    <row r="97" spans="1:7" ht="30.2" customHeight="1" x14ac:dyDescent="0.3">
      <c r="A97" s="17"/>
      <c r="B97" s="19" t="s">
        <v>34</v>
      </c>
      <c r="C97" s="71" t="s">
        <v>94</v>
      </c>
      <c r="D97" s="18" t="s">
        <v>9</v>
      </c>
      <c r="E97" s="20" t="s">
        <v>11</v>
      </c>
      <c r="F97" s="22" t="s">
        <v>10</v>
      </c>
      <c r="G97" s="20" t="s">
        <v>35</v>
      </c>
    </row>
    <row r="98" spans="1:7" ht="30.2" customHeight="1" x14ac:dyDescent="0.3">
      <c r="A98" s="17"/>
      <c r="B98" s="19" t="s">
        <v>95</v>
      </c>
      <c r="C98" s="243" t="s">
        <v>96</v>
      </c>
      <c r="D98" s="244"/>
      <c r="E98" s="21" t="s">
        <v>1</v>
      </c>
      <c r="F98" s="245" t="s">
        <v>53</v>
      </c>
      <c r="G98" s="245"/>
    </row>
    <row r="99" spans="1:7" ht="30.2" customHeight="1" x14ac:dyDescent="0.25"/>
    <row r="100" spans="1:7" ht="30.2" customHeight="1" x14ac:dyDescent="0.25">
      <c r="A100" s="242" t="s">
        <v>0</v>
      </c>
      <c r="B100" s="242"/>
      <c r="C100" s="242"/>
      <c r="D100" s="242"/>
      <c r="E100" s="242"/>
      <c r="F100" s="242"/>
      <c r="G100" s="242"/>
    </row>
    <row r="101" spans="1:7" ht="30.2" customHeight="1" x14ac:dyDescent="0.25"/>
    <row r="102" spans="1:7" ht="59.85" customHeight="1" x14ac:dyDescent="0.25">
      <c r="A102" s="3" t="s">
        <v>2</v>
      </c>
      <c r="B102" s="4" t="s">
        <v>3</v>
      </c>
      <c r="C102" s="5" t="s">
        <v>4</v>
      </c>
      <c r="D102" s="3" t="s">
        <v>5</v>
      </c>
      <c r="E102" s="3" t="s">
        <v>6</v>
      </c>
      <c r="F102" s="3" t="s">
        <v>7</v>
      </c>
      <c r="G102" s="3" t="s">
        <v>8</v>
      </c>
    </row>
    <row r="103" spans="1:7" ht="69.75" customHeight="1" x14ac:dyDescent="0.25">
      <c r="A103" s="6">
        <v>1</v>
      </c>
      <c r="B103" s="7" t="str">
        <f>'DANH SÁCH'!C43</f>
        <v>NGUYỄN CAO CƯỜNG</v>
      </c>
      <c r="C103" s="72" t="str">
        <f>'DANH SÁCH'!D43</f>
        <v>08/12/1991</v>
      </c>
      <c r="D103" s="8" t="str">
        <f>'DANH SÁCH'!F43</f>
        <v>Thôn Mùi X. Bích Hòa, H. Thanh Oai, TP. Hà Nội</v>
      </c>
      <c r="E103" s="6"/>
      <c r="F103" s="9"/>
      <c r="G103" s="9"/>
    </row>
    <row r="104" spans="1:7" ht="69.75" customHeight="1" x14ac:dyDescent="0.25">
      <c r="A104" s="6">
        <v>2</v>
      </c>
      <c r="B104" s="7" t="str">
        <f>'DANH SÁCH'!C44</f>
        <v>NGUYỄN THỊ THÚY HÒA</v>
      </c>
      <c r="C104" s="72" t="str">
        <f>'DANH SÁCH'!D44</f>
        <v>26/09/2001</v>
      </c>
      <c r="D104" s="8" t="str">
        <f>'DANH SÁCH'!F44</f>
        <v>Ấp Kinh 1 X. Hòa Điền, H. Kiên Lương, T. Kiên Giang</v>
      </c>
      <c r="E104" s="6"/>
      <c r="F104" s="9"/>
      <c r="G104" s="9"/>
    </row>
    <row r="105" spans="1:7" ht="69.75" customHeight="1" x14ac:dyDescent="0.25">
      <c r="A105" s="6">
        <v>3</v>
      </c>
      <c r="B105" s="7" t="str">
        <f>'DANH SÁCH'!C45</f>
        <v>ĐOÀN MINH LUÂN</v>
      </c>
      <c r="C105" s="72" t="str">
        <f>'DANH SÁCH'!D45</f>
        <v>28/04/1997</v>
      </c>
      <c r="D105" s="8" t="str">
        <f>'DANH SÁCH'!F45</f>
        <v>Ấp Hiếu Kinh A X. Hiếu Thành, H. Vũng Liêm, T. Vĩnh Long</v>
      </c>
      <c r="E105" s="6"/>
      <c r="F105" s="9"/>
      <c r="G105" s="9"/>
    </row>
    <row r="106" spans="1:7" ht="69.75" customHeight="1" x14ac:dyDescent="0.25">
      <c r="A106" s="6">
        <v>4</v>
      </c>
      <c r="B106" s="7" t="str">
        <f>'DANH SÁCH'!C46</f>
        <v>ĐỖ THỊ TRANG</v>
      </c>
      <c r="C106" s="72" t="str">
        <f>'DANH SÁCH'!D46</f>
        <v>24/12/1990</v>
      </c>
      <c r="D106" s="8" t="str">
        <f>'DANH SÁCH'!F46</f>
        <v>1221 Tỉnh Lộ 15 Xóm Chùa X. An Phú, H. Củ Chi, TP. Hồ Chí Minh</v>
      </c>
      <c r="E106" s="6"/>
      <c r="F106" s="9"/>
      <c r="G106" s="9"/>
    </row>
    <row r="107" spans="1:7" ht="69.75" customHeight="1" x14ac:dyDescent="0.25">
      <c r="A107" s="10">
        <v>5</v>
      </c>
      <c r="B107" s="7" t="str">
        <f>'DANH SÁCH'!C47</f>
        <v>NGÔ THỤY QUỲNH VY</v>
      </c>
      <c r="C107" s="72" t="str">
        <f>'DANH SÁCH'!D47</f>
        <v>21/05/1990</v>
      </c>
      <c r="D107" s="8" t="str">
        <f>'DANH SÁCH'!F47</f>
        <v>103B Đường 475 Kp5 P. Phước Long B, TP. Thủ Đức, TP. Hồ Chí Minh</v>
      </c>
      <c r="E107" s="6"/>
      <c r="F107" s="9"/>
      <c r="G107" s="9"/>
    </row>
    <row r="109" spans="1:7" ht="30.2" customHeight="1" x14ac:dyDescent="0.3">
      <c r="A109" s="17"/>
      <c r="B109" s="19" t="s">
        <v>34</v>
      </c>
      <c r="C109" s="71" t="s">
        <v>94</v>
      </c>
      <c r="D109" s="18" t="s">
        <v>9</v>
      </c>
      <c r="E109" s="20" t="s">
        <v>11</v>
      </c>
      <c r="F109" s="22" t="s">
        <v>10</v>
      </c>
      <c r="G109" s="20" t="s">
        <v>35</v>
      </c>
    </row>
    <row r="110" spans="1:7" ht="30.2" customHeight="1" x14ac:dyDescent="0.3">
      <c r="A110" s="17"/>
      <c r="B110" s="19" t="s">
        <v>95</v>
      </c>
      <c r="C110" s="243" t="s">
        <v>96</v>
      </c>
      <c r="D110" s="244"/>
      <c r="E110" s="21" t="s">
        <v>1</v>
      </c>
      <c r="F110" s="245" t="s">
        <v>53</v>
      </c>
      <c r="G110" s="245"/>
    </row>
    <row r="111" spans="1:7" ht="30.2" customHeight="1" x14ac:dyDescent="0.25"/>
    <row r="112" spans="1:7" ht="30.2" customHeight="1" x14ac:dyDescent="0.25">
      <c r="A112" s="242" t="s">
        <v>0</v>
      </c>
      <c r="B112" s="242"/>
      <c r="C112" s="242"/>
      <c r="D112" s="242"/>
      <c r="E112" s="242"/>
      <c r="F112" s="242"/>
      <c r="G112" s="242"/>
    </row>
    <row r="113" spans="1:7" ht="30.2" customHeight="1" x14ac:dyDescent="0.25"/>
    <row r="114" spans="1:7" ht="59.85" customHeight="1" x14ac:dyDescent="0.25">
      <c r="A114" s="3" t="s">
        <v>2</v>
      </c>
      <c r="B114" s="4" t="s">
        <v>3</v>
      </c>
      <c r="C114" s="5" t="s">
        <v>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ht="69.75" customHeight="1" x14ac:dyDescent="0.25">
      <c r="A115" s="6">
        <v>1</v>
      </c>
      <c r="B115" s="7">
        <f>'DANH SÁCH'!C48</f>
        <v>0</v>
      </c>
      <c r="C115" s="72">
        <f>'DANH SÁCH'!D48</f>
        <v>0</v>
      </c>
      <c r="D115" s="8">
        <f>'DANH SÁCH'!F48</f>
        <v>0</v>
      </c>
      <c r="E115" s="6"/>
      <c r="F115" s="9"/>
      <c r="G115" s="9"/>
    </row>
    <row r="116" spans="1:7" ht="69.75" customHeight="1" x14ac:dyDescent="0.25">
      <c r="A116" s="6">
        <v>2</v>
      </c>
      <c r="B116" s="7">
        <f>'DANH SÁCH'!C49</f>
        <v>0</v>
      </c>
      <c r="C116" s="72">
        <f>'DANH SÁCH'!D49</f>
        <v>0</v>
      </c>
      <c r="D116" s="8">
        <f>'DANH SÁCH'!F49</f>
        <v>0</v>
      </c>
      <c r="E116" s="6"/>
      <c r="F116" s="9"/>
      <c r="G116" s="9"/>
    </row>
    <row r="117" spans="1:7" ht="69.75" customHeight="1" x14ac:dyDescent="0.25">
      <c r="A117" s="6">
        <v>3</v>
      </c>
      <c r="B117" s="7">
        <f>'DANH SÁCH'!C50</f>
        <v>0</v>
      </c>
      <c r="C117" s="72">
        <f>'DANH SÁCH'!D50</f>
        <v>0</v>
      </c>
      <c r="D117" s="8">
        <f>'DANH SÁCH'!F50</f>
        <v>0</v>
      </c>
      <c r="E117" s="6"/>
      <c r="F117" s="9"/>
      <c r="G117" s="9"/>
    </row>
    <row r="118" spans="1:7" ht="69.75" customHeight="1" x14ac:dyDescent="0.25">
      <c r="A118" s="6">
        <v>4</v>
      </c>
      <c r="B118" s="7">
        <f>'DANH SÁCH'!C51</f>
        <v>0</v>
      </c>
      <c r="C118" s="72">
        <f>'DANH SÁCH'!D51</f>
        <v>0</v>
      </c>
      <c r="D118" s="8">
        <f>'DANH SÁCH'!F51</f>
        <v>0</v>
      </c>
      <c r="E118" s="6"/>
      <c r="F118" s="9"/>
      <c r="G118" s="9"/>
    </row>
    <row r="119" spans="1:7" ht="69.75" customHeight="1" x14ac:dyDescent="0.25">
      <c r="A119" s="10">
        <v>5</v>
      </c>
      <c r="B119" s="7">
        <f>'DANH SÁCH'!C52</f>
        <v>0</v>
      </c>
      <c r="C119" s="72">
        <f>'DANH SÁCH'!D52</f>
        <v>0</v>
      </c>
      <c r="D119" s="8">
        <f>'DANH SÁCH'!F52</f>
        <v>0</v>
      </c>
      <c r="E119" s="6"/>
      <c r="F119" s="9"/>
      <c r="G119" s="9"/>
    </row>
    <row r="121" spans="1:7" ht="30.2" customHeight="1" x14ac:dyDescent="0.3">
      <c r="A121" s="17"/>
      <c r="B121" s="19" t="s">
        <v>34</v>
      </c>
      <c r="C121" s="71" t="s">
        <v>94</v>
      </c>
      <c r="D121" s="18" t="s">
        <v>9</v>
      </c>
      <c r="E121" s="20" t="s">
        <v>11</v>
      </c>
      <c r="F121" s="22" t="s">
        <v>10</v>
      </c>
      <c r="G121" s="20" t="s">
        <v>35</v>
      </c>
    </row>
    <row r="122" spans="1:7" ht="30.2" customHeight="1" x14ac:dyDescent="0.3">
      <c r="A122" s="17"/>
      <c r="B122" s="19" t="s">
        <v>95</v>
      </c>
      <c r="C122" s="243" t="s">
        <v>96</v>
      </c>
      <c r="D122" s="244"/>
      <c r="E122" s="21" t="s">
        <v>1</v>
      </c>
      <c r="F122" s="245" t="s">
        <v>53</v>
      </c>
      <c r="G122" s="245"/>
    </row>
    <row r="123" spans="1:7" ht="30.2" customHeight="1" x14ac:dyDescent="0.25"/>
    <row r="124" spans="1:7" ht="30.2" customHeight="1" x14ac:dyDescent="0.25">
      <c r="A124" s="242" t="s">
        <v>0</v>
      </c>
      <c r="B124" s="242"/>
      <c r="C124" s="242"/>
      <c r="D124" s="242"/>
      <c r="E124" s="242"/>
      <c r="F124" s="242"/>
      <c r="G124" s="242"/>
    </row>
    <row r="125" spans="1:7" ht="30.2" customHeight="1" x14ac:dyDescent="0.25"/>
    <row r="126" spans="1:7" ht="59.85" customHeight="1" x14ac:dyDescent="0.25">
      <c r="A126" s="3" t="s">
        <v>2</v>
      </c>
      <c r="B126" s="4" t="s">
        <v>3</v>
      </c>
      <c r="C126" s="5" t="s">
        <v>4</v>
      </c>
      <c r="D126" s="3" t="s">
        <v>5</v>
      </c>
      <c r="E126" s="3" t="s">
        <v>6</v>
      </c>
      <c r="F126" s="3" t="s">
        <v>7</v>
      </c>
      <c r="G126" s="3" t="s">
        <v>8</v>
      </c>
    </row>
    <row r="127" spans="1:7" ht="69.75" customHeight="1" x14ac:dyDescent="0.25">
      <c r="A127" s="6">
        <v>1</v>
      </c>
      <c r="B127" s="7">
        <f>'DANH SÁCH'!C53</f>
        <v>0</v>
      </c>
      <c r="C127" s="72">
        <f>'DANH SÁCH'!D53</f>
        <v>0</v>
      </c>
      <c r="D127" s="8">
        <f>'DANH SÁCH'!F53</f>
        <v>0</v>
      </c>
      <c r="E127" s="6"/>
      <c r="F127" s="9"/>
      <c r="G127" s="9"/>
    </row>
    <row r="128" spans="1:7" ht="69.75" customHeight="1" x14ac:dyDescent="0.25">
      <c r="A128" s="6">
        <v>2</v>
      </c>
      <c r="B128" s="7">
        <f>'DANH SÁCH'!C54</f>
        <v>0</v>
      </c>
      <c r="C128" s="72">
        <f>'DANH SÁCH'!D54</f>
        <v>0</v>
      </c>
      <c r="D128" s="8">
        <f>'DANH SÁCH'!F54</f>
        <v>0</v>
      </c>
      <c r="E128" s="6"/>
      <c r="F128" s="9"/>
      <c r="G128" s="9"/>
    </row>
    <row r="129" spans="1:7" ht="69.75" customHeight="1" x14ac:dyDescent="0.25">
      <c r="A129" s="6">
        <v>3</v>
      </c>
      <c r="B129" s="7">
        <f>'DANH SÁCH'!C55</f>
        <v>0</v>
      </c>
      <c r="C129" s="72">
        <f>'DANH SÁCH'!D55</f>
        <v>0</v>
      </c>
      <c r="D129" s="8">
        <f>'DANH SÁCH'!F55</f>
        <v>0</v>
      </c>
      <c r="E129" s="6"/>
      <c r="F129" s="9"/>
      <c r="G129" s="9"/>
    </row>
    <row r="130" spans="1:7" ht="69.75" customHeight="1" x14ac:dyDescent="0.25">
      <c r="A130" s="6">
        <v>4</v>
      </c>
      <c r="B130" s="7">
        <f>'DANH SÁCH'!C56</f>
        <v>0</v>
      </c>
      <c r="C130" s="72">
        <f>'DANH SÁCH'!D56</f>
        <v>0</v>
      </c>
      <c r="D130" s="8">
        <f>'DANH SÁCH'!F56</f>
        <v>0</v>
      </c>
      <c r="E130" s="6"/>
      <c r="F130" s="9"/>
      <c r="G130" s="9"/>
    </row>
    <row r="131" spans="1:7" ht="69.75" customHeight="1" x14ac:dyDescent="0.25">
      <c r="A131" s="10">
        <v>5</v>
      </c>
      <c r="B131" s="7">
        <f>'DANH SÁCH'!C57</f>
        <v>0</v>
      </c>
      <c r="C131" s="72">
        <f>'DANH SÁCH'!D57</f>
        <v>0</v>
      </c>
      <c r="D131" s="8">
        <f>'DANH SÁCH'!F57</f>
        <v>0</v>
      </c>
      <c r="E131" s="6"/>
      <c r="F131" s="9"/>
      <c r="G131" s="9"/>
    </row>
    <row r="133" spans="1:7" ht="30.95" customHeight="1" x14ac:dyDescent="0.3">
      <c r="A133" s="17"/>
      <c r="B133" s="19" t="s">
        <v>34</v>
      </c>
      <c r="C133" s="71" t="s">
        <v>94</v>
      </c>
      <c r="D133" s="18" t="s">
        <v>9</v>
      </c>
      <c r="E133" s="20" t="s">
        <v>11</v>
      </c>
      <c r="F133" s="22" t="s">
        <v>10</v>
      </c>
      <c r="G133" s="20" t="s">
        <v>35</v>
      </c>
    </row>
    <row r="134" spans="1:7" ht="30.95" customHeight="1" x14ac:dyDescent="0.3">
      <c r="A134" s="17"/>
      <c r="B134" s="19" t="s">
        <v>95</v>
      </c>
      <c r="C134" s="243" t="s">
        <v>96</v>
      </c>
      <c r="D134" s="244"/>
      <c r="E134" s="21" t="s">
        <v>1</v>
      </c>
      <c r="F134" s="245" t="s">
        <v>53</v>
      </c>
      <c r="G134" s="245"/>
    </row>
    <row r="135" spans="1:7" ht="30.95" customHeight="1" x14ac:dyDescent="0.25"/>
    <row r="136" spans="1:7" ht="30.95" customHeight="1" x14ac:dyDescent="0.25">
      <c r="A136" s="242" t="s">
        <v>0</v>
      </c>
      <c r="B136" s="242"/>
      <c r="C136" s="242"/>
      <c r="D136" s="242"/>
      <c r="E136" s="242"/>
      <c r="F136" s="242"/>
      <c r="G136" s="242"/>
    </row>
    <row r="137" spans="1:7" ht="30.95" customHeight="1" x14ac:dyDescent="0.25"/>
    <row r="138" spans="1:7" ht="60.6" customHeight="1" x14ac:dyDescent="0.25">
      <c r="A138" s="3" t="s">
        <v>2</v>
      </c>
      <c r="B138" s="4" t="s">
        <v>3</v>
      </c>
      <c r="C138" s="5" t="s">
        <v>4</v>
      </c>
      <c r="D138" s="3" t="s">
        <v>5</v>
      </c>
      <c r="E138" s="3" t="s">
        <v>6</v>
      </c>
      <c r="F138" s="3" t="s">
        <v>7</v>
      </c>
      <c r="G138" s="3" t="s">
        <v>8</v>
      </c>
    </row>
    <row r="139" spans="1:7" ht="69.75" customHeight="1" x14ac:dyDescent="0.25">
      <c r="A139" s="6">
        <v>1</v>
      </c>
      <c r="B139" s="7">
        <f>'DANH SÁCH'!C58</f>
        <v>0</v>
      </c>
      <c r="C139" s="72">
        <f>'DANH SÁCH'!D58</f>
        <v>0</v>
      </c>
      <c r="D139" s="8">
        <f>'DANH SÁCH'!F58</f>
        <v>0</v>
      </c>
      <c r="E139" s="6"/>
      <c r="F139" s="9"/>
      <c r="G139" s="9"/>
    </row>
    <row r="140" spans="1:7" ht="69.75" customHeight="1" x14ac:dyDescent="0.25">
      <c r="A140" s="6">
        <v>2</v>
      </c>
      <c r="B140" s="7">
        <f>'DANH SÁCH'!C59</f>
        <v>0</v>
      </c>
      <c r="C140" s="72">
        <f>'DANH SÁCH'!D59</f>
        <v>0</v>
      </c>
      <c r="D140" s="8">
        <f>'DANH SÁCH'!F59</f>
        <v>0</v>
      </c>
      <c r="E140" s="6"/>
      <c r="F140" s="9"/>
      <c r="G140" s="9"/>
    </row>
    <row r="141" spans="1:7" ht="69.75" customHeight="1" x14ac:dyDescent="0.25">
      <c r="A141" s="6">
        <v>3</v>
      </c>
      <c r="B141" s="7">
        <f>'DANH SÁCH'!C60</f>
        <v>0</v>
      </c>
      <c r="C141" s="72">
        <f>'DANH SÁCH'!D60</f>
        <v>0</v>
      </c>
      <c r="D141" s="8">
        <f>'DANH SÁCH'!F60</f>
        <v>0</v>
      </c>
      <c r="E141" s="6"/>
      <c r="F141" s="9"/>
      <c r="G141" s="9"/>
    </row>
    <row r="142" spans="1:7" ht="69.75" customHeight="1" x14ac:dyDescent="0.25">
      <c r="A142" s="6">
        <v>4</v>
      </c>
      <c r="B142" s="7">
        <f>'DANH SÁCH'!C61</f>
        <v>0</v>
      </c>
      <c r="C142" s="72">
        <f>'DANH SÁCH'!D61</f>
        <v>0</v>
      </c>
      <c r="D142" s="8">
        <f>'DANH SÁCH'!F61</f>
        <v>0</v>
      </c>
      <c r="E142" s="6"/>
      <c r="F142" s="9"/>
      <c r="G142" s="9"/>
    </row>
    <row r="143" spans="1:7" ht="69.75" customHeight="1" x14ac:dyDescent="0.25">
      <c r="A143" s="10">
        <v>5</v>
      </c>
      <c r="B143" s="7">
        <f>'DANH SÁCH'!C62</f>
        <v>0</v>
      </c>
      <c r="C143" s="72">
        <f>'DANH SÁCH'!D62</f>
        <v>0</v>
      </c>
      <c r="D143" s="8">
        <f>'DANH SÁCH'!F62</f>
        <v>0</v>
      </c>
      <c r="E143" s="6"/>
      <c r="F143" s="9"/>
      <c r="G143" s="9"/>
    </row>
    <row r="144" spans="1:7" ht="30.2" customHeight="1" x14ac:dyDescent="0.3">
      <c r="A144" s="17"/>
      <c r="B144" s="19" t="s">
        <v>34</v>
      </c>
      <c r="C144" s="71" t="s">
        <v>94</v>
      </c>
      <c r="D144" s="18" t="s">
        <v>9</v>
      </c>
      <c r="E144" s="20" t="s">
        <v>11</v>
      </c>
      <c r="F144" s="22" t="s">
        <v>10</v>
      </c>
      <c r="G144" s="20" t="s">
        <v>35</v>
      </c>
    </row>
    <row r="145" spans="1:7" ht="30.2" customHeight="1" x14ac:dyDescent="0.3">
      <c r="A145" s="17"/>
      <c r="B145" s="19" t="s">
        <v>95</v>
      </c>
      <c r="C145" s="243" t="s">
        <v>96</v>
      </c>
      <c r="D145" s="244"/>
      <c r="E145" s="21" t="s">
        <v>1</v>
      </c>
      <c r="F145" s="245" t="s">
        <v>53</v>
      </c>
      <c r="G145" s="245"/>
    </row>
    <row r="146" spans="1:7" ht="30.2" customHeight="1" x14ac:dyDescent="0.25"/>
    <row r="147" spans="1:7" ht="30.2" customHeight="1" x14ac:dyDescent="0.25">
      <c r="A147" s="242" t="s">
        <v>0</v>
      </c>
      <c r="B147" s="242"/>
      <c r="C147" s="242"/>
      <c r="D147" s="242"/>
      <c r="E147" s="242"/>
      <c r="F147" s="242"/>
      <c r="G147" s="242"/>
    </row>
    <row r="148" spans="1:7" ht="30.2" customHeight="1" x14ac:dyDescent="0.25"/>
    <row r="149" spans="1:7" ht="59.85" customHeight="1" x14ac:dyDescent="0.25">
      <c r="A149" s="3" t="s">
        <v>2</v>
      </c>
      <c r="B149" s="4" t="s">
        <v>3</v>
      </c>
      <c r="C149" s="5" t="s">
        <v>4</v>
      </c>
      <c r="D149" s="3" t="s">
        <v>5</v>
      </c>
      <c r="E149" s="3" t="s">
        <v>6</v>
      </c>
      <c r="F149" s="3" t="s">
        <v>7</v>
      </c>
      <c r="G149" s="3" t="s">
        <v>8</v>
      </c>
    </row>
    <row r="150" spans="1:7" ht="69.75" customHeight="1" x14ac:dyDescent="0.25">
      <c r="A150" s="6">
        <v>1</v>
      </c>
      <c r="B150" s="7">
        <f>'DANH SÁCH'!C63</f>
        <v>0</v>
      </c>
      <c r="C150" s="72">
        <f>'DANH SÁCH'!D63</f>
        <v>0</v>
      </c>
      <c r="D150" s="8">
        <f>'DANH SÁCH'!F63</f>
        <v>0</v>
      </c>
      <c r="E150" s="6"/>
      <c r="F150" s="9"/>
      <c r="G150" s="9"/>
    </row>
    <row r="151" spans="1:7" ht="69.75" customHeight="1" x14ac:dyDescent="0.25">
      <c r="A151" s="6">
        <v>2</v>
      </c>
      <c r="B151" s="7">
        <f>'DANH SÁCH'!C77</f>
        <v>0</v>
      </c>
      <c r="C151" s="72">
        <f>'DANH SÁCH'!D77</f>
        <v>0</v>
      </c>
      <c r="D151" s="8">
        <f>'DANH SÁCH'!F77</f>
        <v>0</v>
      </c>
      <c r="E151" s="6"/>
      <c r="F151" s="9"/>
      <c r="G151" s="9"/>
    </row>
    <row r="152" spans="1:7" ht="69.75" customHeight="1" x14ac:dyDescent="0.25">
      <c r="A152" s="6">
        <v>3</v>
      </c>
      <c r="B152" s="7">
        <f>'DANH SÁCH'!C78</f>
        <v>0</v>
      </c>
      <c r="C152" s="72">
        <f>'DANH SÁCH'!D78</f>
        <v>0</v>
      </c>
      <c r="D152" s="8">
        <f>'DANH SÁCH'!F78</f>
        <v>0</v>
      </c>
      <c r="E152" s="6"/>
      <c r="F152" s="9"/>
      <c r="G152" s="9"/>
    </row>
    <row r="153" spans="1:7" ht="69.75" customHeight="1" x14ac:dyDescent="0.25">
      <c r="A153" s="6">
        <v>4</v>
      </c>
      <c r="B153" s="7">
        <f>'DANH SÁCH'!C79</f>
        <v>0</v>
      </c>
      <c r="C153" s="72">
        <f>'DANH SÁCH'!D79</f>
        <v>0</v>
      </c>
      <c r="D153" s="8">
        <f>'DANH SÁCH'!F79</f>
        <v>0</v>
      </c>
      <c r="E153" s="6"/>
      <c r="F153" s="9"/>
      <c r="G153" s="9"/>
    </row>
    <row r="154" spans="1:7" ht="69.75" customHeight="1" x14ac:dyDescent="0.25">
      <c r="A154" s="10">
        <v>5</v>
      </c>
      <c r="B154" s="7">
        <f>'DANH SÁCH'!C80</f>
        <v>0</v>
      </c>
      <c r="C154" s="72">
        <f>'DANH SÁCH'!D80</f>
        <v>0</v>
      </c>
      <c r="D154" s="8">
        <f>'DANH SÁCH'!F80</f>
        <v>0</v>
      </c>
      <c r="E154" s="6"/>
      <c r="F154" s="9"/>
      <c r="G154" s="9"/>
    </row>
    <row r="156" spans="1:7" ht="30.95" customHeight="1" x14ac:dyDescent="0.3">
      <c r="A156" s="17"/>
      <c r="B156" s="19" t="s">
        <v>34</v>
      </c>
      <c r="C156" s="71" t="s">
        <v>94</v>
      </c>
      <c r="D156" s="18" t="s">
        <v>9</v>
      </c>
      <c r="E156" s="20" t="s">
        <v>11</v>
      </c>
      <c r="F156" s="22" t="s">
        <v>10</v>
      </c>
      <c r="G156" s="20" t="s">
        <v>35</v>
      </c>
    </row>
    <row r="157" spans="1:7" ht="30.95" customHeight="1" x14ac:dyDescent="0.3">
      <c r="A157" s="17"/>
      <c r="B157" s="19" t="s">
        <v>95</v>
      </c>
      <c r="C157" s="243" t="s">
        <v>96</v>
      </c>
      <c r="D157" s="244"/>
      <c r="E157" s="21" t="s">
        <v>1</v>
      </c>
      <c r="F157" s="245" t="s">
        <v>53</v>
      </c>
      <c r="G157" s="245"/>
    </row>
    <row r="158" spans="1:7" ht="30.95" customHeight="1" x14ac:dyDescent="0.25"/>
    <row r="159" spans="1:7" ht="30.95" customHeight="1" x14ac:dyDescent="0.25">
      <c r="A159" s="242" t="s">
        <v>0</v>
      </c>
      <c r="B159" s="242"/>
      <c r="C159" s="242"/>
      <c r="D159" s="242"/>
      <c r="E159" s="242"/>
      <c r="F159" s="242"/>
      <c r="G159" s="242"/>
    </row>
    <row r="160" spans="1:7" ht="30.95" customHeight="1" x14ac:dyDescent="0.25"/>
    <row r="161" spans="1:7" ht="60.6" customHeight="1" x14ac:dyDescent="0.25">
      <c r="A161" s="3" t="s">
        <v>2</v>
      </c>
      <c r="B161" s="4" t="s">
        <v>3</v>
      </c>
      <c r="C161" s="5" t="s">
        <v>4</v>
      </c>
      <c r="D161" s="3" t="s">
        <v>5</v>
      </c>
      <c r="E161" s="3" t="s">
        <v>6</v>
      </c>
      <c r="F161" s="3" t="s">
        <v>7</v>
      </c>
      <c r="G161" s="3" t="s">
        <v>8</v>
      </c>
    </row>
    <row r="162" spans="1:7" ht="69.75" customHeight="1" x14ac:dyDescent="0.25">
      <c r="A162" s="6">
        <v>1</v>
      </c>
      <c r="B162" s="7">
        <f>'DANH SÁCH'!C68</f>
        <v>0</v>
      </c>
      <c r="C162" s="72">
        <f>'DANH SÁCH'!D68</f>
        <v>0</v>
      </c>
      <c r="D162" s="8">
        <f>'DANH SÁCH'!F68</f>
        <v>0</v>
      </c>
      <c r="E162" s="6"/>
      <c r="F162" s="9"/>
      <c r="G162" s="9"/>
    </row>
    <row r="163" spans="1:7" ht="69.75" customHeight="1" x14ac:dyDescent="0.25">
      <c r="A163" s="6">
        <v>2</v>
      </c>
      <c r="B163" s="7">
        <f>'DANH SÁCH'!C69</f>
        <v>0</v>
      </c>
      <c r="C163" s="72">
        <f>'DANH SÁCH'!D69</f>
        <v>0</v>
      </c>
      <c r="D163" s="8">
        <f>'DANH SÁCH'!F69</f>
        <v>0</v>
      </c>
      <c r="E163" s="6"/>
      <c r="F163" s="9"/>
      <c r="G163" s="9"/>
    </row>
    <row r="164" spans="1:7" ht="69.75" customHeight="1" x14ac:dyDescent="0.25">
      <c r="A164" s="6">
        <v>3</v>
      </c>
      <c r="B164" s="7">
        <f>'DANH SÁCH'!C70</f>
        <v>0</v>
      </c>
      <c r="C164" s="72">
        <f>'DANH SÁCH'!D70</f>
        <v>0</v>
      </c>
      <c r="D164" s="8">
        <f>'DANH SÁCH'!F70</f>
        <v>0</v>
      </c>
      <c r="E164" s="6"/>
      <c r="F164" s="9"/>
      <c r="G164" s="9"/>
    </row>
    <row r="165" spans="1:7" ht="69.75" customHeight="1" x14ac:dyDescent="0.25">
      <c r="A165" s="6">
        <v>4</v>
      </c>
      <c r="B165" s="7">
        <f>'DANH SÁCH'!C71</f>
        <v>0</v>
      </c>
      <c r="C165" s="72">
        <f>'DANH SÁCH'!D71</f>
        <v>0</v>
      </c>
      <c r="D165" s="8">
        <f>'DANH SÁCH'!F71</f>
        <v>0</v>
      </c>
      <c r="E165" s="6"/>
      <c r="F165" s="9"/>
      <c r="G165" s="9"/>
    </row>
    <row r="166" spans="1:7" ht="69.75" customHeight="1" x14ac:dyDescent="0.25">
      <c r="A166" s="10">
        <v>5</v>
      </c>
      <c r="B166" s="7">
        <f>'DANH SÁCH'!C72</f>
        <v>0</v>
      </c>
      <c r="C166" s="72">
        <f>'DANH SÁCH'!D72</f>
        <v>0</v>
      </c>
      <c r="D166" s="8">
        <f>'DANH SÁCH'!F72</f>
        <v>0</v>
      </c>
      <c r="E166" s="6"/>
      <c r="F166" s="9"/>
      <c r="G166" s="9"/>
    </row>
    <row r="167" spans="1:7" ht="30.2" customHeight="1" x14ac:dyDescent="0.3">
      <c r="A167" s="17"/>
      <c r="B167" s="19" t="s">
        <v>34</v>
      </c>
      <c r="C167" s="71" t="s">
        <v>94</v>
      </c>
      <c r="D167" s="18" t="s">
        <v>9</v>
      </c>
      <c r="E167" s="20" t="s">
        <v>11</v>
      </c>
      <c r="F167" s="22" t="s">
        <v>10</v>
      </c>
      <c r="G167" s="20" t="s">
        <v>35</v>
      </c>
    </row>
    <row r="168" spans="1:7" ht="30.2" customHeight="1" x14ac:dyDescent="0.3">
      <c r="A168" s="17"/>
      <c r="B168" s="19" t="s">
        <v>95</v>
      </c>
      <c r="C168" s="243" t="s">
        <v>96</v>
      </c>
      <c r="D168" s="244"/>
      <c r="E168" s="21" t="s">
        <v>1</v>
      </c>
      <c r="F168" s="245" t="s">
        <v>53</v>
      </c>
      <c r="G168" s="245"/>
    </row>
    <row r="169" spans="1:7" ht="30.2" customHeight="1" x14ac:dyDescent="0.25"/>
    <row r="170" spans="1:7" ht="30.2" customHeight="1" x14ac:dyDescent="0.25">
      <c r="A170" s="242" t="s">
        <v>0</v>
      </c>
      <c r="B170" s="242"/>
      <c r="C170" s="242"/>
      <c r="D170" s="242"/>
      <c r="E170" s="242"/>
      <c r="F170" s="242"/>
      <c r="G170" s="242"/>
    </row>
    <row r="171" spans="1:7" ht="30.2" customHeight="1" x14ac:dyDescent="0.25"/>
    <row r="172" spans="1:7" ht="59.85" customHeight="1" x14ac:dyDescent="0.25">
      <c r="A172" s="3" t="s">
        <v>2</v>
      </c>
      <c r="B172" s="4" t="s">
        <v>3</v>
      </c>
      <c r="C172" s="5" t="s">
        <v>4</v>
      </c>
      <c r="D172" s="3" t="s">
        <v>5</v>
      </c>
      <c r="E172" s="3" t="s">
        <v>6</v>
      </c>
      <c r="F172" s="3" t="s">
        <v>7</v>
      </c>
      <c r="G172" s="3" t="s">
        <v>8</v>
      </c>
    </row>
    <row r="173" spans="1:7" ht="69.75" customHeight="1" x14ac:dyDescent="0.25">
      <c r="A173" s="6">
        <v>1</v>
      </c>
      <c r="B173" s="7">
        <f>'DANH SÁCH'!C73</f>
        <v>0</v>
      </c>
      <c r="C173" s="72">
        <f>'DANH SÁCH'!D73</f>
        <v>0</v>
      </c>
      <c r="D173" s="8">
        <f>'DANH SÁCH'!F73</f>
        <v>0</v>
      </c>
      <c r="E173" s="6"/>
      <c r="F173" s="9"/>
      <c r="G173" s="9"/>
    </row>
    <row r="174" spans="1:7" ht="69.75" customHeight="1" x14ac:dyDescent="0.25">
      <c r="A174" s="6">
        <v>2</v>
      </c>
      <c r="B174" s="7">
        <f>'DANH SÁCH'!C74</f>
        <v>0</v>
      </c>
      <c r="C174" s="72">
        <f>'DANH SÁCH'!D74</f>
        <v>0</v>
      </c>
      <c r="D174" s="8">
        <f>'DANH SÁCH'!F74</f>
        <v>0</v>
      </c>
      <c r="E174" s="6"/>
      <c r="F174" s="9"/>
      <c r="G174" s="9"/>
    </row>
    <row r="175" spans="1:7" ht="69.75" customHeight="1" x14ac:dyDescent="0.25">
      <c r="A175" s="6">
        <v>3</v>
      </c>
      <c r="B175" s="7">
        <f>'DANH SÁCH'!C75</f>
        <v>0</v>
      </c>
      <c r="C175" s="72">
        <f>'DANH SÁCH'!D75</f>
        <v>0</v>
      </c>
      <c r="D175" s="8">
        <f>'DANH SÁCH'!F75</f>
        <v>0</v>
      </c>
      <c r="E175" s="6"/>
      <c r="F175" s="9"/>
      <c r="G175" s="9"/>
    </row>
    <row r="176" spans="1:7" ht="69.75" customHeight="1" x14ac:dyDescent="0.25">
      <c r="A176" s="6">
        <v>4</v>
      </c>
      <c r="B176" s="7">
        <f>'DANH SÁCH'!C76</f>
        <v>0</v>
      </c>
      <c r="C176" s="72">
        <f>'DANH SÁCH'!D76</f>
        <v>0</v>
      </c>
      <c r="D176" s="8">
        <f>'DANH SÁCH'!F76</f>
        <v>0</v>
      </c>
      <c r="E176" s="6"/>
      <c r="F176" s="9"/>
      <c r="G176" s="9"/>
    </row>
    <row r="177" spans="1:7" ht="69.75" customHeight="1" x14ac:dyDescent="0.25">
      <c r="A177" s="10">
        <v>5</v>
      </c>
      <c r="B177" s="7">
        <f>'DANH SÁCH'!C77</f>
        <v>0</v>
      </c>
      <c r="C177" s="72">
        <f>'DANH SÁCH'!D77</f>
        <v>0</v>
      </c>
      <c r="D177" s="8">
        <f>'DANH SÁCH'!F77</f>
        <v>0</v>
      </c>
      <c r="E177" s="6"/>
      <c r="F177" s="9"/>
      <c r="G177" s="9"/>
    </row>
    <row r="179" spans="1:7" ht="30.95" customHeight="1" x14ac:dyDescent="0.3">
      <c r="A179" s="17"/>
      <c r="B179" s="19" t="s">
        <v>34</v>
      </c>
      <c r="C179" s="71" t="s">
        <v>94</v>
      </c>
      <c r="D179" s="18" t="s">
        <v>9</v>
      </c>
      <c r="E179" s="20" t="s">
        <v>11</v>
      </c>
      <c r="F179" s="22" t="s">
        <v>10</v>
      </c>
      <c r="G179" s="20" t="s">
        <v>35</v>
      </c>
    </row>
    <row r="180" spans="1:7" ht="30.95" customHeight="1" x14ac:dyDescent="0.3">
      <c r="A180" s="17"/>
      <c r="B180" s="19" t="s">
        <v>95</v>
      </c>
      <c r="C180" s="243" t="s">
        <v>96</v>
      </c>
      <c r="D180" s="244"/>
      <c r="E180" s="21" t="s">
        <v>1</v>
      </c>
      <c r="F180" s="245" t="s">
        <v>53</v>
      </c>
      <c r="G180" s="245"/>
    </row>
    <row r="181" spans="1:7" ht="30.95" customHeight="1" x14ac:dyDescent="0.25"/>
    <row r="182" spans="1:7" ht="30.95" customHeight="1" x14ac:dyDescent="0.25">
      <c r="A182" s="242" t="s">
        <v>0</v>
      </c>
      <c r="B182" s="242"/>
      <c r="C182" s="242"/>
      <c r="D182" s="242"/>
      <c r="E182" s="242"/>
      <c r="F182" s="242"/>
      <c r="G182" s="242"/>
    </row>
    <row r="183" spans="1:7" ht="30.95" customHeight="1" x14ac:dyDescent="0.25"/>
    <row r="184" spans="1:7" ht="60.6" customHeight="1" x14ac:dyDescent="0.25">
      <c r="A184" s="3" t="s">
        <v>2</v>
      </c>
      <c r="B184" s="4" t="s">
        <v>3</v>
      </c>
      <c r="C184" s="5" t="s">
        <v>4</v>
      </c>
      <c r="D184" s="3" t="s">
        <v>5</v>
      </c>
      <c r="E184" s="3" t="s">
        <v>6</v>
      </c>
      <c r="F184" s="3" t="s">
        <v>7</v>
      </c>
      <c r="G184" s="3" t="s">
        <v>8</v>
      </c>
    </row>
    <row r="185" spans="1:7" ht="69.75" customHeight="1" x14ac:dyDescent="0.25">
      <c r="A185" s="6">
        <v>1</v>
      </c>
      <c r="B185" s="7">
        <f>'DANH SÁCH'!C78</f>
        <v>0</v>
      </c>
      <c r="C185" s="72">
        <f>'DANH SÁCH'!D78</f>
        <v>0</v>
      </c>
      <c r="D185" s="8">
        <f>'DANH SÁCH'!F78</f>
        <v>0</v>
      </c>
      <c r="E185" s="6"/>
      <c r="F185" s="9"/>
      <c r="G185" s="9"/>
    </row>
    <row r="186" spans="1:7" ht="69.75" customHeight="1" x14ac:dyDescent="0.25">
      <c r="A186" s="6">
        <v>2</v>
      </c>
      <c r="B186" s="7">
        <f>'DANH SÁCH'!C79</f>
        <v>0</v>
      </c>
      <c r="C186" s="72">
        <f>'DANH SÁCH'!D79</f>
        <v>0</v>
      </c>
      <c r="D186" s="8">
        <f>'DANH SÁCH'!F79</f>
        <v>0</v>
      </c>
      <c r="E186" s="6"/>
      <c r="F186" s="9"/>
      <c r="G186" s="9"/>
    </row>
    <row r="187" spans="1:7" ht="69.75" customHeight="1" x14ac:dyDescent="0.25">
      <c r="A187" s="6">
        <v>3</v>
      </c>
      <c r="B187" s="7">
        <f>'DANH SÁCH'!C80</f>
        <v>0</v>
      </c>
      <c r="C187" s="72">
        <f>'DANH SÁCH'!D80</f>
        <v>0</v>
      </c>
      <c r="D187" s="8">
        <f>'DANH SÁCH'!F80</f>
        <v>0</v>
      </c>
      <c r="E187" s="6"/>
      <c r="F187" s="9"/>
      <c r="G187" s="9"/>
    </row>
    <row r="188" spans="1:7" ht="69.75" customHeight="1" x14ac:dyDescent="0.25">
      <c r="A188" s="6">
        <v>4</v>
      </c>
      <c r="B188" s="7">
        <f>'DANH SÁCH'!C81</f>
        <v>0</v>
      </c>
      <c r="C188" s="72">
        <f>'DANH SÁCH'!D81</f>
        <v>0</v>
      </c>
      <c r="D188" s="8">
        <f>'DANH SÁCH'!F81</f>
        <v>0</v>
      </c>
      <c r="E188" s="6"/>
      <c r="F188" s="9"/>
      <c r="G188" s="9"/>
    </row>
    <row r="189" spans="1:7" ht="69.75" customHeight="1" x14ac:dyDescent="0.25">
      <c r="A189" s="10">
        <v>5</v>
      </c>
      <c r="B189" s="7">
        <f>'DANH SÁCH'!C82</f>
        <v>0</v>
      </c>
      <c r="C189" s="72">
        <f>'DANH SÁCH'!D82</f>
        <v>0</v>
      </c>
      <c r="D189" s="8">
        <f>'DANH SÁCH'!F82</f>
        <v>0</v>
      </c>
      <c r="E189" s="6"/>
      <c r="F189" s="9"/>
      <c r="G189" s="9"/>
    </row>
    <row r="190" spans="1:7" ht="30.2" customHeight="1" x14ac:dyDescent="0.3">
      <c r="A190" s="17"/>
      <c r="B190" s="19" t="s">
        <v>34</v>
      </c>
      <c r="C190" s="71" t="s">
        <v>94</v>
      </c>
      <c r="D190" s="18" t="s">
        <v>9</v>
      </c>
      <c r="E190" s="20" t="s">
        <v>11</v>
      </c>
      <c r="F190" s="22" t="s">
        <v>10</v>
      </c>
      <c r="G190" s="20" t="s">
        <v>35</v>
      </c>
    </row>
    <row r="191" spans="1:7" ht="30.2" customHeight="1" x14ac:dyDescent="0.3">
      <c r="A191" s="17"/>
      <c r="B191" s="19" t="s">
        <v>95</v>
      </c>
      <c r="C191" s="243" t="s">
        <v>96</v>
      </c>
      <c r="D191" s="244"/>
      <c r="E191" s="21" t="s">
        <v>1</v>
      </c>
      <c r="F191" s="245" t="s">
        <v>53</v>
      </c>
      <c r="G191" s="245"/>
    </row>
    <row r="192" spans="1:7" ht="30.2" customHeight="1" x14ac:dyDescent="0.25"/>
    <row r="193" spans="1:7" ht="30.2" customHeight="1" x14ac:dyDescent="0.25">
      <c r="A193" s="242" t="s">
        <v>0</v>
      </c>
      <c r="B193" s="242"/>
      <c r="C193" s="242"/>
      <c r="D193" s="242"/>
      <c r="E193" s="242"/>
      <c r="F193" s="242"/>
      <c r="G193" s="242"/>
    </row>
    <row r="194" spans="1:7" ht="30.2" customHeight="1" x14ac:dyDescent="0.25"/>
    <row r="195" spans="1:7" ht="59.85" customHeight="1" x14ac:dyDescent="0.25">
      <c r="A195" s="3" t="s">
        <v>2</v>
      </c>
      <c r="B195" s="4" t="s">
        <v>3</v>
      </c>
      <c r="C195" s="5" t="s">
        <v>4</v>
      </c>
      <c r="D195" s="3" t="s">
        <v>5</v>
      </c>
      <c r="E195" s="3" t="s">
        <v>6</v>
      </c>
      <c r="F195" s="3" t="s">
        <v>7</v>
      </c>
      <c r="G195" s="3" t="s">
        <v>8</v>
      </c>
    </row>
    <row r="196" spans="1:7" ht="69.75" customHeight="1" x14ac:dyDescent="0.25">
      <c r="A196" s="6">
        <v>1</v>
      </c>
      <c r="B196" s="7">
        <f>'DANH SÁCH'!C83</f>
        <v>0</v>
      </c>
      <c r="C196" s="72">
        <f>'DANH SÁCH'!D83</f>
        <v>0</v>
      </c>
      <c r="D196" s="8">
        <f>'DANH SÁCH'!F83</f>
        <v>0</v>
      </c>
      <c r="E196" s="6"/>
      <c r="F196" s="9"/>
      <c r="G196" s="9"/>
    </row>
    <row r="197" spans="1:7" ht="69.75" customHeight="1" x14ac:dyDescent="0.25">
      <c r="A197" s="6">
        <v>2</v>
      </c>
      <c r="B197" s="7">
        <f>'DANH SÁCH'!C84</f>
        <v>0</v>
      </c>
      <c r="C197" s="72">
        <f>'DANH SÁCH'!D84</f>
        <v>0</v>
      </c>
      <c r="D197" s="8">
        <f>'DANH SÁCH'!F84</f>
        <v>0</v>
      </c>
      <c r="E197" s="6"/>
      <c r="F197" s="9"/>
      <c r="G197" s="9"/>
    </row>
    <row r="198" spans="1:7" ht="69.75" customHeight="1" x14ac:dyDescent="0.25">
      <c r="A198" s="6">
        <v>3</v>
      </c>
      <c r="B198" s="7">
        <f>'DANH SÁCH'!C85</f>
        <v>0</v>
      </c>
      <c r="C198" s="72">
        <f>'DANH SÁCH'!D85</f>
        <v>0</v>
      </c>
      <c r="D198" s="8">
        <f>'DANH SÁCH'!F85</f>
        <v>0</v>
      </c>
      <c r="E198" s="6"/>
      <c r="F198" s="9"/>
      <c r="G198" s="9"/>
    </row>
    <row r="199" spans="1:7" ht="69.75" customHeight="1" x14ac:dyDescent="0.25">
      <c r="A199" s="6">
        <v>4</v>
      </c>
      <c r="B199" s="7">
        <f>'DANH SÁCH'!C86</f>
        <v>0</v>
      </c>
      <c r="C199" s="72">
        <f>'DANH SÁCH'!D86</f>
        <v>0</v>
      </c>
      <c r="D199" s="8">
        <f>'DANH SÁCH'!F86</f>
        <v>0</v>
      </c>
      <c r="E199" s="6"/>
      <c r="F199" s="9"/>
      <c r="G199" s="9"/>
    </row>
    <row r="200" spans="1:7" ht="69.75" customHeight="1" x14ac:dyDescent="0.25">
      <c r="A200" s="10">
        <v>5</v>
      </c>
      <c r="B200" s="7">
        <f>'DANH SÁCH'!C87</f>
        <v>0</v>
      </c>
      <c r="C200" s="72">
        <f>'DANH SÁCH'!D87</f>
        <v>0</v>
      </c>
      <c r="D200" s="8">
        <f>'DANH SÁCH'!F87</f>
        <v>0</v>
      </c>
      <c r="E200" s="6"/>
      <c r="F200" s="9"/>
      <c r="G200" s="9"/>
    </row>
    <row r="202" spans="1:7" ht="30.95" customHeight="1" x14ac:dyDescent="0.3">
      <c r="A202" s="17"/>
      <c r="B202" s="19" t="s">
        <v>34</v>
      </c>
      <c r="C202" s="71" t="s">
        <v>94</v>
      </c>
      <c r="D202" s="18" t="s">
        <v>9</v>
      </c>
      <c r="E202" s="20" t="s">
        <v>11</v>
      </c>
      <c r="F202" s="22" t="s">
        <v>10</v>
      </c>
      <c r="G202" s="20" t="s">
        <v>35</v>
      </c>
    </row>
    <row r="203" spans="1:7" ht="30.95" customHeight="1" x14ac:dyDescent="0.3">
      <c r="A203" s="17"/>
      <c r="B203" s="19" t="s">
        <v>95</v>
      </c>
      <c r="C203" s="243" t="s">
        <v>96</v>
      </c>
      <c r="D203" s="244"/>
      <c r="E203" s="21" t="s">
        <v>1</v>
      </c>
      <c r="F203" s="245" t="s">
        <v>53</v>
      </c>
      <c r="G203" s="245"/>
    </row>
    <row r="204" spans="1:7" ht="30.95" customHeight="1" x14ac:dyDescent="0.25"/>
    <row r="205" spans="1:7" ht="30.95" customHeight="1" x14ac:dyDescent="0.25">
      <c r="A205" s="242" t="s">
        <v>0</v>
      </c>
      <c r="B205" s="242"/>
      <c r="C205" s="242"/>
      <c r="D205" s="242"/>
      <c r="E205" s="242"/>
      <c r="F205" s="242"/>
      <c r="G205" s="242"/>
    </row>
    <row r="206" spans="1:7" ht="30.95" customHeight="1" x14ac:dyDescent="0.25"/>
    <row r="207" spans="1:7" ht="60.6" customHeight="1" x14ac:dyDescent="0.25">
      <c r="A207" s="3" t="s">
        <v>2</v>
      </c>
      <c r="B207" s="4" t="s">
        <v>3</v>
      </c>
      <c r="C207" s="5" t="s">
        <v>4</v>
      </c>
      <c r="D207" s="3" t="s">
        <v>5</v>
      </c>
      <c r="E207" s="3" t="s">
        <v>6</v>
      </c>
      <c r="F207" s="3" t="s">
        <v>7</v>
      </c>
      <c r="G207" s="3" t="s">
        <v>8</v>
      </c>
    </row>
    <row r="208" spans="1:7" ht="69.75" customHeight="1" x14ac:dyDescent="0.25">
      <c r="A208" s="6">
        <v>1</v>
      </c>
      <c r="B208" s="7">
        <f>'DANH SÁCH'!C88</f>
        <v>0</v>
      </c>
      <c r="C208" s="72">
        <f>'DANH SÁCH'!D88</f>
        <v>0</v>
      </c>
      <c r="D208" s="8">
        <f>'DANH SÁCH'!F88</f>
        <v>0</v>
      </c>
      <c r="E208" s="6"/>
      <c r="F208" s="9"/>
      <c r="G208" s="9"/>
    </row>
    <row r="209" spans="1:7" ht="69.75" customHeight="1" x14ac:dyDescent="0.25">
      <c r="A209" s="6">
        <v>2</v>
      </c>
      <c r="B209" s="7">
        <f>'DANH SÁCH'!C89</f>
        <v>0</v>
      </c>
      <c r="C209" s="72">
        <f>'DANH SÁCH'!D89</f>
        <v>0</v>
      </c>
      <c r="D209" s="8">
        <f>'DANH SÁCH'!F89</f>
        <v>0</v>
      </c>
      <c r="E209" s="6"/>
      <c r="F209" s="9"/>
      <c r="G209" s="9"/>
    </row>
    <row r="210" spans="1:7" ht="69.75" customHeight="1" x14ac:dyDescent="0.25">
      <c r="A210" s="6">
        <v>3</v>
      </c>
      <c r="B210" s="7">
        <f>'DANH SÁCH'!C90</f>
        <v>0</v>
      </c>
      <c r="C210" s="72">
        <f>'DANH SÁCH'!D90</f>
        <v>0</v>
      </c>
      <c r="D210" s="8">
        <f>'DANH SÁCH'!F90</f>
        <v>0</v>
      </c>
      <c r="E210" s="6"/>
      <c r="F210" s="9"/>
      <c r="G210" s="9"/>
    </row>
    <row r="211" spans="1:7" ht="69.75" customHeight="1" x14ac:dyDescent="0.25">
      <c r="A211" s="6">
        <v>4</v>
      </c>
      <c r="B211" s="7">
        <f>'DANH SÁCH'!C91</f>
        <v>0</v>
      </c>
      <c r="C211" s="72">
        <f>'DANH SÁCH'!D91</f>
        <v>0</v>
      </c>
      <c r="D211" s="8">
        <f>'DANH SÁCH'!F91</f>
        <v>0</v>
      </c>
      <c r="E211" s="6"/>
      <c r="F211" s="9"/>
      <c r="G211" s="9"/>
    </row>
    <row r="212" spans="1:7" ht="69.75" customHeight="1" x14ac:dyDescent="0.25">
      <c r="A212" s="10">
        <v>5</v>
      </c>
      <c r="B212" s="7">
        <f>'DANH SÁCH'!C92</f>
        <v>0</v>
      </c>
      <c r="C212" s="72">
        <f>'DANH SÁCH'!D92</f>
        <v>0</v>
      </c>
      <c r="D212" s="8">
        <f>'DANH SÁCH'!F92</f>
        <v>0</v>
      </c>
      <c r="E212" s="6"/>
      <c r="F212" s="9"/>
      <c r="G212" s="9"/>
    </row>
    <row r="213" spans="1:7" ht="30.2" customHeight="1" x14ac:dyDescent="0.3">
      <c r="A213" s="17"/>
      <c r="B213" s="19" t="s">
        <v>34</v>
      </c>
      <c r="C213" s="71" t="s">
        <v>94</v>
      </c>
      <c r="D213" s="18" t="s">
        <v>9</v>
      </c>
      <c r="E213" s="20" t="s">
        <v>11</v>
      </c>
      <c r="F213" s="22" t="s">
        <v>10</v>
      </c>
      <c r="G213" s="20" t="s">
        <v>35</v>
      </c>
    </row>
    <row r="214" spans="1:7" ht="30.2" customHeight="1" x14ac:dyDescent="0.3">
      <c r="A214" s="17"/>
      <c r="B214" s="19" t="s">
        <v>95</v>
      </c>
      <c r="C214" s="243" t="s">
        <v>96</v>
      </c>
      <c r="D214" s="244"/>
      <c r="E214" s="21" t="s">
        <v>1</v>
      </c>
      <c r="F214" s="245" t="s">
        <v>53</v>
      </c>
      <c r="G214" s="245"/>
    </row>
    <row r="215" spans="1:7" ht="30.2" customHeight="1" x14ac:dyDescent="0.25"/>
    <row r="216" spans="1:7" ht="30.2" customHeight="1" x14ac:dyDescent="0.25">
      <c r="A216" s="242" t="s">
        <v>0</v>
      </c>
      <c r="B216" s="242"/>
      <c r="C216" s="242"/>
      <c r="D216" s="242"/>
      <c r="E216" s="242"/>
      <c r="F216" s="242"/>
      <c r="G216" s="242"/>
    </row>
    <row r="217" spans="1:7" ht="30.2" customHeight="1" x14ac:dyDescent="0.25"/>
    <row r="218" spans="1:7" ht="59.85" customHeight="1" x14ac:dyDescent="0.25">
      <c r="A218" s="3" t="s">
        <v>2</v>
      </c>
      <c r="B218" s="4" t="s">
        <v>3</v>
      </c>
      <c r="C218" s="5" t="s">
        <v>4</v>
      </c>
      <c r="D218" s="3" t="s">
        <v>5</v>
      </c>
      <c r="E218" s="3" t="s">
        <v>6</v>
      </c>
      <c r="F218" s="3" t="s">
        <v>7</v>
      </c>
      <c r="G218" s="3" t="s">
        <v>8</v>
      </c>
    </row>
    <row r="219" spans="1:7" ht="69.75" customHeight="1" x14ac:dyDescent="0.25">
      <c r="A219" s="6">
        <v>1</v>
      </c>
      <c r="B219" s="7">
        <f>'DANH SÁCH'!C93</f>
        <v>0</v>
      </c>
      <c r="C219" s="72">
        <f>'DANH SÁCH'!D93</f>
        <v>0</v>
      </c>
      <c r="D219" s="8">
        <f>'DANH SÁCH'!F93</f>
        <v>0</v>
      </c>
      <c r="E219" s="6"/>
      <c r="F219" s="9"/>
      <c r="G219" s="9"/>
    </row>
    <row r="220" spans="1:7" ht="69.75" customHeight="1" x14ac:dyDescent="0.25">
      <c r="A220" s="6">
        <v>2</v>
      </c>
      <c r="B220" s="7">
        <f>'DANH SÁCH'!C94</f>
        <v>0</v>
      </c>
      <c r="C220" s="72">
        <f>'DANH SÁCH'!D94</f>
        <v>0</v>
      </c>
      <c r="D220" s="8">
        <f>'DANH SÁCH'!F94</f>
        <v>0</v>
      </c>
      <c r="E220" s="6"/>
      <c r="F220" s="9"/>
      <c r="G220" s="9"/>
    </row>
    <row r="221" spans="1:7" ht="69.75" customHeight="1" x14ac:dyDescent="0.25">
      <c r="A221" s="6">
        <v>3</v>
      </c>
      <c r="B221" s="7">
        <f>'DANH SÁCH'!C95</f>
        <v>0</v>
      </c>
      <c r="C221" s="72">
        <f>'DANH SÁCH'!D95</f>
        <v>0</v>
      </c>
      <c r="D221" s="8">
        <f>'DANH SÁCH'!F95</f>
        <v>0</v>
      </c>
      <c r="E221" s="6"/>
      <c r="F221" s="9"/>
      <c r="G221" s="9"/>
    </row>
    <row r="222" spans="1:7" ht="69.75" customHeight="1" x14ac:dyDescent="0.25">
      <c r="A222" s="6">
        <v>4</v>
      </c>
      <c r="B222" s="7">
        <f>'DANH SÁCH'!C96</f>
        <v>0</v>
      </c>
      <c r="C222" s="72">
        <f>'DANH SÁCH'!D96</f>
        <v>0</v>
      </c>
      <c r="D222" s="8">
        <f>'DANH SÁCH'!F96</f>
        <v>0</v>
      </c>
      <c r="E222" s="6"/>
      <c r="F222" s="9"/>
      <c r="G222" s="9"/>
    </row>
    <row r="223" spans="1:7" ht="69.75" customHeight="1" x14ac:dyDescent="0.25">
      <c r="A223" s="10">
        <v>5</v>
      </c>
      <c r="B223" s="7">
        <f>'DANH SÁCH'!C97</f>
        <v>0</v>
      </c>
      <c r="C223" s="72">
        <f>'DANH SÁCH'!D97</f>
        <v>0</v>
      </c>
      <c r="D223" s="8">
        <f>'DANH SÁCH'!F97</f>
        <v>0</v>
      </c>
      <c r="E223" s="6"/>
      <c r="F223" s="9"/>
      <c r="G223" s="9"/>
    </row>
  </sheetData>
  <mergeCells count="57">
    <mergeCell ref="A4:G4"/>
    <mergeCell ref="F2:G2"/>
    <mergeCell ref="C2:D2"/>
    <mergeCell ref="C14:D14"/>
    <mergeCell ref="F14:G14"/>
    <mergeCell ref="A16:G16"/>
    <mergeCell ref="C26:D26"/>
    <mergeCell ref="F26:G26"/>
    <mergeCell ref="A28:G28"/>
    <mergeCell ref="C38:D38"/>
    <mergeCell ref="F38:G38"/>
    <mergeCell ref="A40:G40"/>
    <mergeCell ref="C50:D50"/>
    <mergeCell ref="F50:G50"/>
    <mergeCell ref="A52:G52"/>
    <mergeCell ref="C62:D62"/>
    <mergeCell ref="F62:G62"/>
    <mergeCell ref="A88:G88"/>
    <mergeCell ref="A64:G64"/>
    <mergeCell ref="C74:D74"/>
    <mergeCell ref="F74:G74"/>
    <mergeCell ref="A76:G76"/>
    <mergeCell ref="C86:D86"/>
    <mergeCell ref="F86:G86"/>
    <mergeCell ref="C98:D98"/>
    <mergeCell ref="F98:G98"/>
    <mergeCell ref="A100:G100"/>
    <mergeCell ref="C110:D110"/>
    <mergeCell ref="F110:G110"/>
    <mergeCell ref="A136:G136"/>
    <mergeCell ref="A112:G112"/>
    <mergeCell ref="C122:D122"/>
    <mergeCell ref="F122:G122"/>
    <mergeCell ref="A124:G124"/>
    <mergeCell ref="C134:D134"/>
    <mergeCell ref="F134:G134"/>
    <mergeCell ref="C145:D145"/>
    <mergeCell ref="F145:G145"/>
    <mergeCell ref="A147:G147"/>
    <mergeCell ref="C157:D157"/>
    <mergeCell ref="F157:G157"/>
    <mergeCell ref="A159:G159"/>
    <mergeCell ref="C168:D168"/>
    <mergeCell ref="F168:G168"/>
    <mergeCell ref="A170:G170"/>
    <mergeCell ref="C180:D180"/>
    <mergeCell ref="F180:G180"/>
    <mergeCell ref="A205:G205"/>
    <mergeCell ref="C214:D214"/>
    <mergeCell ref="F214:G214"/>
    <mergeCell ref="A216:G216"/>
    <mergeCell ref="A182:G182"/>
    <mergeCell ref="C191:D191"/>
    <mergeCell ref="F191:G191"/>
    <mergeCell ref="A193:G193"/>
    <mergeCell ref="C203:D203"/>
    <mergeCell ref="F203:G203"/>
  </mergeCells>
  <pageMargins left="0.7" right="0.17" top="0.24" bottom="0.24" header="0.22" footer="0.17"/>
  <pageSetup paperSize="9" orientation="landscape" r:id="rId1"/>
  <headerFooter>
    <oddHeader>&amp;L&amp;"Times New Roman,Thường"&amp;8NHÓM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A437-963F-4B3C-810F-450F94CAB4DA}">
  <dimension ref="A1:P53"/>
  <sheetViews>
    <sheetView zoomScaleNormal="100" workbookViewId="0">
      <selection activeCell="J30" sqref="A1:J30"/>
    </sheetView>
  </sheetViews>
  <sheetFormatPr defaultRowHeight="15" x14ac:dyDescent="0.25"/>
  <cols>
    <col min="1" max="1" width="12" bestFit="1" customWidth="1"/>
    <col min="2" max="2" width="48" bestFit="1" customWidth="1"/>
    <col min="3" max="10" width="9.7109375" customWidth="1"/>
    <col min="11" max="11" width="14.7109375" customWidth="1"/>
    <col min="13" max="13" width="60" bestFit="1" customWidth="1"/>
    <col min="14" max="14" width="8.7109375" customWidth="1"/>
    <col min="15" max="15" width="11" customWidth="1"/>
    <col min="16" max="16" width="22.85546875" customWidth="1"/>
  </cols>
  <sheetData>
    <row r="1" spans="1:16" ht="20.100000000000001" customHeight="1" x14ac:dyDescent="0.25">
      <c r="A1" s="260" t="s">
        <v>12</v>
      </c>
      <c r="B1" s="44" t="s">
        <v>13</v>
      </c>
      <c r="C1" s="256" t="s">
        <v>14</v>
      </c>
      <c r="D1" s="264" t="s">
        <v>45</v>
      </c>
      <c r="E1" s="264" t="s">
        <v>15</v>
      </c>
      <c r="F1" s="256" t="s">
        <v>16</v>
      </c>
      <c r="G1" s="256"/>
      <c r="H1" s="264" t="s">
        <v>17</v>
      </c>
      <c r="I1" s="256" t="s">
        <v>18</v>
      </c>
      <c r="J1" s="257"/>
      <c r="K1" s="35"/>
    </row>
    <row r="2" spans="1:16" ht="20.100000000000001" customHeight="1" x14ac:dyDescent="0.25">
      <c r="A2" s="261"/>
      <c r="B2" s="28" t="s">
        <v>348</v>
      </c>
      <c r="C2" s="263"/>
      <c r="D2" s="263"/>
      <c r="E2" s="263"/>
      <c r="F2" s="258" t="s">
        <v>19</v>
      </c>
      <c r="G2" s="258" t="s">
        <v>20</v>
      </c>
      <c r="H2" s="263"/>
      <c r="I2" s="25" t="s">
        <v>21</v>
      </c>
      <c r="J2" s="116" t="s">
        <v>22</v>
      </c>
      <c r="K2" s="35"/>
    </row>
    <row r="3" spans="1:16" ht="20.100000000000001" customHeight="1" thickBot="1" x14ac:dyDescent="0.3">
      <c r="A3" s="262"/>
      <c r="B3" s="43" t="s">
        <v>52</v>
      </c>
      <c r="C3" s="259"/>
      <c r="D3" s="259"/>
      <c r="E3" s="259"/>
      <c r="F3" s="259"/>
      <c r="G3" s="259"/>
      <c r="H3" s="259"/>
      <c r="I3" s="38"/>
      <c r="J3" s="102" t="s">
        <v>23</v>
      </c>
      <c r="K3" s="35"/>
    </row>
    <row r="4" spans="1:16" ht="24.95" customHeight="1" thickBot="1" x14ac:dyDescent="0.3">
      <c r="A4" s="197">
        <v>45300</v>
      </c>
      <c r="B4" s="198" t="s">
        <v>54</v>
      </c>
      <c r="C4" s="101" t="s">
        <v>24</v>
      </c>
      <c r="D4" s="101">
        <v>5</v>
      </c>
      <c r="E4" s="101">
        <v>0</v>
      </c>
      <c r="F4" s="199"/>
      <c r="G4" s="199"/>
      <c r="H4" s="101">
        <v>0</v>
      </c>
      <c r="I4" s="199"/>
      <c r="J4" s="200"/>
      <c r="K4" s="30"/>
    </row>
    <row r="5" spans="1:16" ht="24.95" customHeight="1" thickBot="1" x14ac:dyDescent="0.3">
      <c r="A5" s="201">
        <f>A4</f>
        <v>45300</v>
      </c>
      <c r="B5" s="202" t="s">
        <v>83</v>
      </c>
      <c r="C5" s="26" t="s">
        <v>24</v>
      </c>
      <c r="D5" s="26">
        <v>5</v>
      </c>
      <c r="E5" s="26">
        <v>0</v>
      </c>
      <c r="F5" s="27"/>
      <c r="G5" s="27"/>
      <c r="H5" s="26">
        <f>D5*2</f>
        <v>10</v>
      </c>
      <c r="I5" s="27"/>
      <c r="J5" s="91"/>
      <c r="K5" s="30"/>
    </row>
    <row r="6" spans="1:16" ht="24.95" customHeight="1" x14ac:dyDescent="0.25">
      <c r="A6" s="39"/>
      <c r="B6" s="40" t="s">
        <v>55</v>
      </c>
      <c r="C6" s="246" t="s">
        <v>24</v>
      </c>
      <c r="D6" s="41">
        <v>35</v>
      </c>
      <c r="E6" s="14">
        <f>D6*5</f>
        <v>175</v>
      </c>
      <c r="F6" s="15"/>
      <c r="G6" s="15"/>
      <c r="H6" s="14">
        <f>D6*2.5</f>
        <v>87.5</v>
      </c>
      <c r="I6" s="14"/>
      <c r="J6" s="108"/>
      <c r="K6" s="36"/>
      <c r="L6" s="203"/>
    </row>
    <row r="7" spans="1:16" ht="24.95" customHeight="1" x14ac:dyDescent="0.25">
      <c r="A7" s="92">
        <f>A5+1</f>
        <v>45301</v>
      </c>
      <c r="B7" s="31" t="s">
        <v>25</v>
      </c>
      <c r="C7" s="247"/>
      <c r="D7" s="97">
        <v>10</v>
      </c>
      <c r="E7" s="95">
        <f>E6/D6*D7</f>
        <v>50</v>
      </c>
      <c r="F7" s="94"/>
      <c r="G7" s="94"/>
      <c r="H7" s="93">
        <f>D7*2.5</f>
        <v>25</v>
      </c>
      <c r="I7" s="93"/>
      <c r="J7" s="113"/>
      <c r="K7" s="36"/>
    </row>
    <row r="8" spans="1:16" ht="24.95" customHeight="1" x14ac:dyDescent="0.25">
      <c r="A8" s="92">
        <f t="shared" ref="A8:A10" si="0">A7+1</f>
        <v>45302</v>
      </c>
      <c r="B8" s="31" t="s">
        <v>26</v>
      </c>
      <c r="C8" s="247"/>
      <c r="D8" s="97">
        <v>10</v>
      </c>
      <c r="E8" s="95">
        <f t="shared" ref="E8:E10" si="1">E7/D7*D8</f>
        <v>50</v>
      </c>
      <c r="F8" s="94"/>
      <c r="G8" s="94"/>
      <c r="H8" s="93">
        <f t="shared" ref="H8:H10" si="2">D8*2.5</f>
        <v>25</v>
      </c>
      <c r="I8" s="93"/>
      <c r="J8" s="113"/>
      <c r="K8" s="36"/>
    </row>
    <row r="9" spans="1:16" ht="24.95" customHeight="1" x14ac:dyDescent="0.25">
      <c r="A9" s="92">
        <f t="shared" si="0"/>
        <v>45303</v>
      </c>
      <c r="B9" s="31" t="s">
        <v>57</v>
      </c>
      <c r="C9" s="247"/>
      <c r="D9" s="97">
        <v>10</v>
      </c>
      <c r="E9" s="95">
        <f t="shared" si="1"/>
        <v>50</v>
      </c>
      <c r="F9" s="94"/>
      <c r="G9" s="94"/>
      <c r="H9" s="93">
        <f t="shared" si="2"/>
        <v>25</v>
      </c>
      <c r="I9" s="93"/>
      <c r="J9" s="113"/>
      <c r="K9" s="36"/>
    </row>
    <row r="10" spans="1:16" ht="24.95" customHeight="1" thickBot="1" x14ac:dyDescent="0.3">
      <c r="A10" s="92">
        <f t="shared" si="0"/>
        <v>45304</v>
      </c>
      <c r="B10" s="31"/>
      <c r="C10" s="247"/>
      <c r="D10" s="97">
        <v>5</v>
      </c>
      <c r="E10" s="95">
        <f t="shared" si="1"/>
        <v>25</v>
      </c>
      <c r="F10" s="94"/>
      <c r="G10" s="94"/>
      <c r="H10" s="93">
        <f t="shared" si="2"/>
        <v>12.5</v>
      </c>
      <c r="I10" s="93"/>
      <c r="J10" s="113"/>
      <c r="K10" s="36"/>
    </row>
    <row r="11" spans="1:16" ht="24.95" customHeight="1" x14ac:dyDescent="0.25">
      <c r="A11" s="112"/>
      <c r="B11" s="40" t="s">
        <v>82</v>
      </c>
      <c r="C11" s="246" t="s">
        <v>24</v>
      </c>
      <c r="D11" s="254">
        <v>40</v>
      </c>
      <c r="E11" s="246">
        <f>D11*5</f>
        <v>200</v>
      </c>
      <c r="F11" s="246"/>
      <c r="G11" s="246"/>
      <c r="H11" s="246">
        <f>D11*2.5</f>
        <v>100</v>
      </c>
      <c r="I11" s="246"/>
      <c r="J11" s="249"/>
      <c r="K11" s="36"/>
    </row>
    <row r="12" spans="1:16" ht="24.95" customHeight="1" x14ac:dyDescent="0.25">
      <c r="A12" s="90"/>
      <c r="B12" s="32" t="s">
        <v>27</v>
      </c>
      <c r="C12" s="247"/>
      <c r="D12" s="255"/>
      <c r="E12" s="252"/>
      <c r="F12" s="252"/>
      <c r="G12" s="252"/>
      <c r="H12" s="252"/>
      <c r="I12" s="252"/>
      <c r="J12" s="253"/>
      <c r="K12" s="36"/>
    </row>
    <row r="13" spans="1:16" ht="24.95" customHeight="1" x14ac:dyDescent="0.25">
      <c r="A13" s="90">
        <f>A10+1</f>
        <v>45305</v>
      </c>
      <c r="B13" s="33" t="s">
        <v>58</v>
      </c>
      <c r="C13" s="247"/>
      <c r="D13" s="29">
        <v>10</v>
      </c>
      <c r="E13" s="16">
        <f>D13*6</f>
        <v>60</v>
      </c>
      <c r="F13" s="16"/>
      <c r="G13" s="16"/>
      <c r="H13" s="16">
        <f>2.5*D13</f>
        <v>25</v>
      </c>
      <c r="I13" s="16"/>
      <c r="J13" s="109"/>
      <c r="K13" s="36"/>
    </row>
    <row r="14" spans="1:16" ht="24.95" customHeight="1" x14ac:dyDescent="0.25">
      <c r="A14" s="90">
        <f>A13+1</f>
        <v>45306</v>
      </c>
      <c r="B14" s="31" t="s">
        <v>56</v>
      </c>
      <c r="C14" s="247"/>
      <c r="D14" s="29">
        <v>10</v>
      </c>
      <c r="E14" s="16">
        <f t="shared" ref="E14:E16" si="3">D14*6</f>
        <v>60</v>
      </c>
      <c r="F14" s="16"/>
      <c r="G14" s="16"/>
      <c r="H14" s="16">
        <f t="shared" ref="H14:H16" si="4">2.5*D14</f>
        <v>25</v>
      </c>
      <c r="I14" s="16"/>
      <c r="J14" s="109"/>
      <c r="K14" s="208" t="s">
        <v>342</v>
      </c>
      <c r="L14" s="23">
        <f>290*5</f>
        <v>1450</v>
      </c>
      <c r="M14" s="23"/>
      <c r="N14" s="23"/>
      <c r="O14" s="23"/>
      <c r="P14" s="23"/>
    </row>
    <row r="15" spans="1:16" ht="24.95" customHeight="1" x14ac:dyDescent="0.25">
      <c r="A15" s="90">
        <f t="shared" ref="A15:A16" si="5">A14+1</f>
        <v>45307</v>
      </c>
      <c r="B15" s="31" t="s">
        <v>28</v>
      </c>
      <c r="C15" s="247"/>
      <c r="D15" s="29">
        <v>10</v>
      </c>
      <c r="E15" s="16">
        <f t="shared" si="3"/>
        <v>60</v>
      </c>
      <c r="F15" s="16"/>
      <c r="G15" s="16"/>
      <c r="H15" s="16">
        <f t="shared" si="4"/>
        <v>25</v>
      </c>
      <c r="I15" s="16"/>
      <c r="J15" s="109"/>
      <c r="K15" s="209" t="s">
        <v>343</v>
      </c>
      <c r="L15" s="23">
        <f>L14/5</f>
        <v>290</v>
      </c>
      <c r="M15" s="23"/>
      <c r="N15" s="23"/>
      <c r="O15" s="23"/>
      <c r="P15" s="23"/>
    </row>
    <row r="16" spans="1:16" ht="24.95" customHeight="1" thickBot="1" x14ac:dyDescent="0.3">
      <c r="A16" s="90">
        <f t="shared" si="5"/>
        <v>45308</v>
      </c>
      <c r="B16" s="31" t="s">
        <v>29</v>
      </c>
      <c r="C16" s="247"/>
      <c r="D16" s="29">
        <v>10</v>
      </c>
      <c r="E16" s="16">
        <f t="shared" si="3"/>
        <v>60</v>
      </c>
      <c r="F16" s="16"/>
      <c r="G16" s="16"/>
      <c r="H16" s="16">
        <f t="shared" si="4"/>
        <v>25</v>
      </c>
      <c r="I16" s="16"/>
      <c r="J16" s="109"/>
      <c r="K16" s="208" t="s">
        <v>341</v>
      </c>
      <c r="L16" s="23">
        <f>D22+D11+D6+D5+D4</f>
        <v>165</v>
      </c>
      <c r="M16" s="23"/>
      <c r="N16" s="23"/>
      <c r="O16" s="23"/>
      <c r="P16" s="23"/>
    </row>
    <row r="17" spans="1:16" ht="24.95" customHeight="1" x14ac:dyDescent="0.25">
      <c r="A17" s="213"/>
      <c r="B17" s="40" t="s">
        <v>349</v>
      </c>
      <c r="C17" s="246" t="s">
        <v>24</v>
      </c>
      <c r="D17" s="41">
        <v>40</v>
      </c>
      <c r="E17" s="14">
        <v>200</v>
      </c>
      <c r="F17" s="14"/>
      <c r="G17" s="14"/>
      <c r="H17" s="14">
        <v>100</v>
      </c>
      <c r="I17" s="246"/>
      <c r="J17" s="249"/>
      <c r="K17" s="23"/>
      <c r="L17" s="23"/>
      <c r="M17" s="311" t="s">
        <v>363</v>
      </c>
      <c r="N17" s="311" t="s">
        <v>364</v>
      </c>
      <c r="O17" s="311" t="s">
        <v>365</v>
      </c>
      <c r="P17" s="313"/>
    </row>
    <row r="18" spans="1:16" ht="24.95" customHeight="1" x14ac:dyDescent="0.25">
      <c r="A18" s="212">
        <f>A16+1</f>
        <v>45309</v>
      </c>
      <c r="B18" s="31" t="s">
        <v>30</v>
      </c>
      <c r="C18" s="247"/>
      <c r="D18" s="29">
        <v>10</v>
      </c>
      <c r="E18" s="93">
        <v>50</v>
      </c>
      <c r="F18" s="93"/>
      <c r="G18" s="93"/>
      <c r="H18" s="16">
        <v>25</v>
      </c>
      <c r="I18" s="247"/>
      <c r="J18" s="250"/>
      <c r="K18" s="23"/>
      <c r="L18" s="23"/>
      <c r="M18" s="311" t="s">
        <v>359</v>
      </c>
      <c r="N18" s="311">
        <v>1</v>
      </c>
      <c r="O18" s="311">
        <v>5</v>
      </c>
      <c r="P18" s="316" t="s">
        <v>366</v>
      </c>
    </row>
    <row r="19" spans="1:16" ht="24.95" customHeight="1" x14ac:dyDescent="0.25">
      <c r="A19" s="212">
        <f>A18+1</f>
        <v>45310</v>
      </c>
      <c r="B19" s="31" t="s">
        <v>31</v>
      </c>
      <c r="C19" s="247"/>
      <c r="D19" s="29">
        <v>10</v>
      </c>
      <c r="E19" s="93">
        <v>50</v>
      </c>
      <c r="F19" s="93"/>
      <c r="G19" s="93"/>
      <c r="H19" s="16">
        <v>25</v>
      </c>
      <c r="I19" s="247"/>
      <c r="J19" s="250"/>
      <c r="K19" s="23"/>
      <c r="L19" s="23"/>
      <c r="M19" s="311" t="s">
        <v>360</v>
      </c>
      <c r="N19" s="311">
        <v>1</v>
      </c>
      <c r="O19" s="311">
        <v>5</v>
      </c>
      <c r="P19" s="317"/>
    </row>
    <row r="20" spans="1:16" ht="24.95" customHeight="1" x14ac:dyDescent="0.25">
      <c r="A20" s="212">
        <f t="shared" ref="A20:A21" si="6">A19+1</f>
        <v>45311</v>
      </c>
      <c r="B20" s="31" t="s">
        <v>84</v>
      </c>
      <c r="C20" s="247"/>
      <c r="D20" s="29">
        <v>10</v>
      </c>
      <c r="E20" s="93">
        <v>50</v>
      </c>
      <c r="F20" s="93"/>
      <c r="G20" s="93"/>
      <c r="H20" s="16">
        <v>25</v>
      </c>
      <c r="I20" s="247"/>
      <c r="J20" s="250"/>
      <c r="K20" s="23"/>
      <c r="L20" s="23"/>
      <c r="M20" s="311" t="s">
        <v>361</v>
      </c>
      <c r="N20" s="311">
        <v>7</v>
      </c>
      <c r="O20" s="311">
        <v>35</v>
      </c>
      <c r="P20" s="317"/>
    </row>
    <row r="21" spans="1:16" ht="24.95" customHeight="1" thickBot="1" x14ac:dyDescent="0.3">
      <c r="A21" s="212">
        <f t="shared" si="6"/>
        <v>45312</v>
      </c>
      <c r="B21" s="31"/>
      <c r="C21" s="248"/>
      <c r="D21" s="214">
        <v>10</v>
      </c>
      <c r="E21" s="158">
        <v>50</v>
      </c>
      <c r="F21" s="93"/>
      <c r="G21" s="93"/>
      <c r="H21" s="215">
        <v>25</v>
      </c>
      <c r="I21" s="248"/>
      <c r="J21" s="251"/>
      <c r="K21" s="23"/>
      <c r="L21" s="23"/>
      <c r="M21" s="311" t="s">
        <v>362</v>
      </c>
      <c r="N21" s="311">
        <v>8</v>
      </c>
      <c r="O21" s="311">
        <v>40</v>
      </c>
      <c r="P21" s="317"/>
    </row>
    <row r="22" spans="1:16" ht="24.95" customHeight="1" x14ac:dyDescent="0.25">
      <c r="A22" s="39"/>
      <c r="B22" s="88" t="s">
        <v>350</v>
      </c>
      <c r="C22" s="254" t="s">
        <v>24</v>
      </c>
      <c r="D22" s="41">
        <v>80</v>
      </c>
      <c r="E22" s="89">
        <v>870</v>
      </c>
      <c r="F22" s="15"/>
      <c r="G22" s="15"/>
      <c r="H22" s="24">
        <f>80*2.5</f>
        <v>200</v>
      </c>
      <c r="I22" s="110"/>
      <c r="J22" s="111"/>
      <c r="K22" s="208"/>
      <c r="L22" s="23"/>
      <c r="M22" s="311" t="s">
        <v>349</v>
      </c>
      <c r="N22" s="311">
        <v>8</v>
      </c>
      <c r="O22" s="311">
        <v>40</v>
      </c>
      <c r="P22" s="317"/>
    </row>
    <row r="23" spans="1:16" ht="24.95" customHeight="1" x14ac:dyDescent="0.25">
      <c r="A23" s="92">
        <f>A16+1</f>
        <v>45309</v>
      </c>
      <c r="B23" s="34" t="s">
        <v>32</v>
      </c>
      <c r="C23" s="315"/>
      <c r="D23" s="97">
        <v>10</v>
      </c>
      <c r="E23" s="95">
        <f>($E$22/80)*D23</f>
        <v>108.75</v>
      </c>
      <c r="F23" s="94"/>
      <c r="G23" s="94"/>
      <c r="H23" s="95">
        <f>D23*2.8</f>
        <v>28</v>
      </c>
      <c r="I23" s="114"/>
      <c r="J23" s="115"/>
      <c r="K23" s="314"/>
      <c r="L23" s="23"/>
      <c r="M23" s="311" t="s">
        <v>350</v>
      </c>
      <c r="N23" s="311">
        <v>16</v>
      </c>
      <c r="O23" s="311">
        <v>80</v>
      </c>
      <c r="P23" s="318"/>
    </row>
    <row r="24" spans="1:16" ht="24.95" customHeight="1" x14ac:dyDescent="0.25">
      <c r="A24" s="92">
        <f>A23+1</f>
        <v>45310</v>
      </c>
      <c r="B24" s="34" t="s">
        <v>33</v>
      </c>
      <c r="C24" s="315"/>
      <c r="D24" s="97">
        <v>10</v>
      </c>
      <c r="E24" s="95">
        <f t="shared" ref="E24:E29" si="7">($E$22/80)*D24</f>
        <v>108.75</v>
      </c>
      <c r="F24" s="94"/>
      <c r="G24" s="94"/>
      <c r="H24" s="95">
        <f>D24*2.8</f>
        <v>28</v>
      </c>
      <c r="I24" s="114"/>
      <c r="J24" s="115"/>
      <c r="K24" s="314"/>
      <c r="L24" s="23"/>
      <c r="M24" s="312" t="s">
        <v>351</v>
      </c>
      <c r="N24" s="312">
        <v>6</v>
      </c>
      <c r="O24" s="312">
        <v>30</v>
      </c>
      <c r="P24" s="316" t="s">
        <v>367</v>
      </c>
    </row>
    <row r="25" spans="1:16" ht="24.95" customHeight="1" x14ac:dyDescent="0.25">
      <c r="A25" s="92">
        <f t="shared" ref="A25:A30" si="8">A24+1</f>
        <v>45311</v>
      </c>
      <c r="B25" s="34"/>
      <c r="C25" s="315"/>
      <c r="D25" s="97">
        <v>10</v>
      </c>
      <c r="E25" s="95">
        <f t="shared" si="7"/>
        <v>108.75</v>
      </c>
      <c r="F25" s="94"/>
      <c r="G25" s="94"/>
      <c r="H25" s="95">
        <f t="shared" ref="H25:H29" si="9">D25*2.8</f>
        <v>28</v>
      </c>
      <c r="I25" s="114"/>
      <c r="J25" s="115"/>
      <c r="K25" s="314"/>
      <c r="L25" s="23"/>
      <c r="M25" s="312" t="s">
        <v>352</v>
      </c>
      <c r="N25" s="312">
        <v>5</v>
      </c>
      <c r="O25" s="312">
        <v>25</v>
      </c>
      <c r="P25" s="317"/>
    </row>
    <row r="26" spans="1:16" ht="24.95" customHeight="1" x14ac:dyDescent="0.25">
      <c r="A26" s="92">
        <f t="shared" si="8"/>
        <v>45312</v>
      </c>
      <c r="B26" s="34"/>
      <c r="C26" s="315"/>
      <c r="D26" s="97">
        <v>10</v>
      </c>
      <c r="E26" s="95">
        <f t="shared" si="7"/>
        <v>108.75</v>
      </c>
      <c r="F26" s="94"/>
      <c r="G26" s="94"/>
      <c r="H26" s="95">
        <f t="shared" si="9"/>
        <v>28</v>
      </c>
      <c r="I26" s="114"/>
      <c r="J26" s="115"/>
      <c r="K26" s="314"/>
      <c r="L26" s="23"/>
      <c r="M26" s="312" t="s">
        <v>353</v>
      </c>
      <c r="N26" s="312">
        <v>6</v>
      </c>
      <c r="O26" s="312">
        <v>30</v>
      </c>
      <c r="P26" s="317"/>
    </row>
    <row r="27" spans="1:16" ht="24.95" customHeight="1" x14ac:dyDescent="0.25">
      <c r="A27" s="92">
        <f t="shared" si="8"/>
        <v>45313</v>
      </c>
      <c r="B27" s="34"/>
      <c r="C27" s="315"/>
      <c r="D27" s="97">
        <v>10</v>
      </c>
      <c r="E27" s="95">
        <f t="shared" si="7"/>
        <v>108.75</v>
      </c>
      <c r="F27" s="94"/>
      <c r="G27" s="94"/>
      <c r="H27" s="95">
        <f t="shared" si="9"/>
        <v>28</v>
      </c>
      <c r="I27" s="114"/>
      <c r="J27" s="115"/>
      <c r="K27" s="314"/>
      <c r="L27" s="23"/>
      <c r="M27" s="312" t="s">
        <v>354</v>
      </c>
      <c r="N27" s="312">
        <v>2</v>
      </c>
      <c r="O27" s="312">
        <v>10</v>
      </c>
      <c r="P27" s="317"/>
    </row>
    <row r="28" spans="1:16" ht="24.95" customHeight="1" x14ac:dyDescent="0.25">
      <c r="A28" s="92">
        <f t="shared" si="8"/>
        <v>45314</v>
      </c>
      <c r="B28" s="96"/>
      <c r="C28" s="315"/>
      <c r="D28" s="97">
        <v>10</v>
      </c>
      <c r="E28" s="95">
        <f t="shared" si="7"/>
        <v>108.75</v>
      </c>
      <c r="F28" s="94"/>
      <c r="G28" s="94"/>
      <c r="H28" s="95">
        <f t="shared" si="9"/>
        <v>28</v>
      </c>
      <c r="I28" s="114"/>
      <c r="J28" s="115"/>
      <c r="K28" s="314"/>
      <c r="L28" s="23"/>
      <c r="M28" s="312" t="s">
        <v>355</v>
      </c>
      <c r="N28" s="312">
        <v>5</v>
      </c>
      <c r="O28" s="312">
        <v>25</v>
      </c>
      <c r="P28" s="318"/>
    </row>
    <row r="29" spans="1:16" ht="24.95" customHeight="1" x14ac:dyDescent="0.25">
      <c r="A29" s="92">
        <f t="shared" si="8"/>
        <v>45315</v>
      </c>
      <c r="B29" s="96"/>
      <c r="C29" s="315"/>
      <c r="D29" s="97">
        <v>10</v>
      </c>
      <c r="E29" s="95">
        <f t="shared" si="7"/>
        <v>108.75</v>
      </c>
      <c r="F29" s="94"/>
      <c r="G29" s="94"/>
      <c r="H29" s="95">
        <f t="shared" si="9"/>
        <v>28</v>
      </c>
      <c r="I29" s="114"/>
      <c r="J29" s="115"/>
      <c r="K29" s="37"/>
    </row>
    <row r="30" spans="1:16" ht="24.95" customHeight="1" thickBot="1" x14ac:dyDescent="0.3">
      <c r="A30" s="121">
        <f t="shared" si="8"/>
        <v>45316</v>
      </c>
      <c r="B30" s="204"/>
      <c r="C30" s="319"/>
      <c r="D30" s="100">
        <v>10</v>
      </c>
      <c r="E30" s="99">
        <f>($E$22/80)*D30</f>
        <v>108.75</v>
      </c>
      <c r="F30" s="42"/>
      <c r="G30" s="42"/>
      <c r="H30" s="99">
        <f>D30*2.8</f>
        <v>28</v>
      </c>
      <c r="I30" s="205"/>
      <c r="J30" s="206"/>
      <c r="K30" s="37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</sheetData>
  <mergeCells count="24">
    <mergeCell ref="P18:P23"/>
    <mergeCell ref="P24:P28"/>
    <mergeCell ref="C22:C30"/>
    <mergeCell ref="I1:J1"/>
    <mergeCell ref="F2:F3"/>
    <mergeCell ref="G2:G3"/>
    <mergeCell ref="A1:A3"/>
    <mergeCell ref="C1:C3"/>
    <mergeCell ref="D1:D3"/>
    <mergeCell ref="E1:E3"/>
    <mergeCell ref="F1:G1"/>
    <mergeCell ref="H1:H3"/>
    <mergeCell ref="C6:C10"/>
    <mergeCell ref="D11:D12"/>
    <mergeCell ref="E11:E12"/>
    <mergeCell ref="H11:H12"/>
    <mergeCell ref="F11:F12"/>
    <mergeCell ref="G11:G12"/>
    <mergeCell ref="C17:C21"/>
    <mergeCell ref="I17:I21"/>
    <mergeCell ref="J17:J21"/>
    <mergeCell ref="I11:I12"/>
    <mergeCell ref="J11:J12"/>
    <mergeCell ref="C11:C16"/>
  </mergeCells>
  <pageMargins left="0.7" right="0.17" top="0.17" bottom="0.17" header="0.17" footer="0.17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843B-ED7C-4080-B72C-42CFA9062407}">
  <dimension ref="A1:L30"/>
  <sheetViews>
    <sheetView zoomScale="85" zoomScaleNormal="85" workbookViewId="0">
      <selection activeCell="M10" sqref="M10"/>
    </sheetView>
  </sheetViews>
  <sheetFormatPr defaultRowHeight="15" x14ac:dyDescent="0.25"/>
  <cols>
    <col min="1" max="1" width="12" bestFit="1" customWidth="1"/>
    <col min="2" max="2" width="48" bestFit="1" customWidth="1"/>
    <col min="3" max="10" width="9.7109375" customWidth="1"/>
    <col min="11" max="11" width="14.7109375" customWidth="1"/>
  </cols>
  <sheetData>
    <row r="1" spans="1:12" ht="35.1" customHeight="1" x14ac:dyDescent="0.25">
      <c r="A1" s="260" t="s">
        <v>12</v>
      </c>
      <c r="B1" s="207" t="s">
        <v>13</v>
      </c>
      <c r="C1" s="256" t="s">
        <v>14</v>
      </c>
      <c r="D1" s="264" t="s">
        <v>45</v>
      </c>
      <c r="E1" s="264" t="s">
        <v>15</v>
      </c>
      <c r="F1" s="256" t="s">
        <v>16</v>
      </c>
      <c r="G1" s="256"/>
      <c r="H1" s="264" t="s">
        <v>17</v>
      </c>
      <c r="I1" s="256" t="s">
        <v>18</v>
      </c>
      <c r="J1" s="257"/>
      <c r="K1" s="35"/>
    </row>
    <row r="2" spans="1:12" ht="35.1" customHeight="1" x14ac:dyDescent="0.25">
      <c r="A2" s="261"/>
      <c r="B2" s="25" t="s">
        <v>348</v>
      </c>
      <c r="C2" s="263"/>
      <c r="D2" s="263"/>
      <c r="E2" s="263"/>
      <c r="F2" s="258" t="s">
        <v>19</v>
      </c>
      <c r="G2" s="258" t="s">
        <v>20</v>
      </c>
      <c r="H2" s="263"/>
      <c r="I2" s="259" t="s">
        <v>21</v>
      </c>
      <c r="J2" s="265" t="s">
        <v>368</v>
      </c>
      <c r="K2" s="35"/>
    </row>
    <row r="3" spans="1:12" ht="35.1" customHeight="1" thickBot="1" x14ac:dyDescent="0.3">
      <c r="A3" s="262"/>
      <c r="B3" s="38" t="s">
        <v>52</v>
      </c>
      <c r="C3" s="259"/>
      <c r="D3" s="259"/>
      <c r="E3" s="259"/>
      <c r="F3" s="259"/>
      <c r="G3" s="259"/>
      <c r="H3" s="259"/>
      <c r="I3" s="320"/>
      <c r="J3" s="266"/>
      <c r="K3" s="35"/>
    </row>
    <row r="4" spans="1:12" ht="35.1" customHeight="1" thickBot="1" x14ac:dyDescent="0.3">
      <c r="A4" s="197"/>
      <c r="B4" s="198" t="s">
        <v>54</v>
      </c>
      <c r="C4" s="101" t="s">
        <v>24</v>
      </c>
      <c r="D4" s="101">
        <v>5</v>
      </c>
      <c r="E4" s="101">
        <v>0</v>
      </c>
      <c r="F4" s="199"/>
      <c r="G4" s="199"/>
      <c r="H4" s="101">
        <v>0</v>
      </c>
      <c r="I4" s="199"/>
      <c r="J4" s="200"/>
      <c r="K4" s="30"/>
    </row>
    <row r="5" spans="1:12" ht="35.1" customHeight="1" thickBot="1" x14ac:dyDescent="0.3">
      <c r="A5" s="201"/>
      <c r="B5" s="321" t="s">
        <v>83</v>
      </c>
      <c r="C5" s="26" t="s">
        <v>24</v>
      </c>
      <c r="D5" s="26">
        <v>5</v>
      </c>
      <c r="E5" s="26">
        <v>0</v>
      </c>
      <c r="F5" s="27"/>
      <c r="G5" s="27"/>
      <c r="H5" s="26">
        <f>D5*2</f>
        <v>10</v>
      </c>
      <c r="I5" s="27"/>
      <c r="J5" s="91"/>
      <c r="K5" s="30"/>
    </row>
    <row r="6" spans="1:12" ht="35.1" customHeight="1" x14ac:dyDescent="0.25">
      <c r="A6" s="39"/>
      <c r="B6" s="40" t="s">
        <v>55</v>
      </c>
      <c r="C6" s="246" t="s">
        <v>24</v>
      </c>
      <c r="D6" s="41">
        <v>35</v>
      </c>
      <c r="E6" s="14">
        <f>D6*5</f>
        <v>175</v>
      </c>
      <c r="F6" s="15"/>
      <c r="G6" s="15"/>
      <c r="H6" s="14">
        <f>D6*2.5</f>
        <v>87.5</v>
      </c>
      <c r="I6" s="246"/>
      <c r="J6" s="249"/>
      <c r="K6" s="36"/>
      <c r="L6" s="203"/>
    </row>
    <row r="7" spans="1:12" ht="35.1" customHeight="1" x14ac:dyDescent="0.25">
      <c r="A7" s="92"/>
      <c r="B7" s="31" t="s">
        <v>25</v>
      </c>
      <c r="C7" s="247"/>
      <c r="D7" s="97"/>
      <c r="E7" s="95"/>
      <c r="F7" s="94"/>
      <c r="G7" s="94"/>
      <c r="H7" s="93"/>
      <c r="I7" s="247"/>
      <c r="J7" s="250"/>
      <c r="K7" s="36"/>
    </row>
    <row r="8" spans="1:12" ht="35.1" customHeight="1" x14ac:dyDescent="0.25">
      <c r="A8" s="92"/>
      <c r="B8" s="31" t="s">
        <v>26</v>
      </c>
      <c r="C8" s="247"/>
      <c r="D8" s="97"/>
      <c r="E8" s="95"/>
      <c r="F8" s="94"/>
      <c r="G8" s="94"/>
      <c r="H8" s="93"/>
      <c r="I8" s="247"/>
      <c r="J8" s="250"/>
      <c r="K8" s="36"/>
    </row>
    <row r="9" spans="1:12" ht="35.1" customHeight="1" x14ac:dyDescent="0.25">
      <c r="A9" s="92"/>
      <c r="B9" s="31" t="s">
        <v>57</v>
      </c>
      <c r="C9" s="247"/>
      <c r="D9" s="97"/>
      <c r="E9" s="95"/>
      <c r="F9" s="94"/>
      <c r="G9" s="94"/>
      <c r="H9" s="93"/>
      <c r="I9" s="247"/>
      <c r="J9" s="250"/>
      <c r="K9" s="36"/>
    </row>
    <row r="10" spans="1:12" ht="35.1" customHeight="1" thickBot="1" x14ac:dyDescent="0.3">
      <c r="A10" s="92"/>
      <c r="B10" s="31"/>
      <c r="C10" s="247"/>
      <c r="D10" s="97"/>
      <c r="E10" s="95"/>
      <c r="F10" s="94"/>
      <c r="G10" s="94"/>
      <c r="H10" s="93"/>
      <c r="I10" s="248"/>
      <c r="J10" s="251"/>
      <c r="K10" s="36"/>
    </row>
    <row r="11" spans="1:12" ht="35.1" customHeight="1" x14ac:dyDescent="0.25">
      <c r="A11" s="112"/>
      <c r="B11" s="40" t="s">
        <v>82</v>
      </c>
      <c r="C11" s="246" t="s">
        <v>24</v>
      </c>
      <c r="D11" s="254">
        <v>40</v>
      </c>
      <c r="E11" s="246">
        <f>D11*5</f>
        <v>200</v>
      </c>
      <c r="F11" s="246"/>
      <c r="G11" s="246"/>
      <c r="H11" s="246">
        <f>D11*2.5</f>
        <v>100</v>
      </c>
      <c r="I11" s="246"/>
      <c r="J11" s="249"/>
      <c r="K11" s="36"/>
    </row>
    <row r="12" spans="1:12" ht="35.1" customHeight="1" x14ac:dyDescent="0.25">
      <c r="A12" s="90"/>
      <c r="B12" s="32" t="s">
        <v>27</v>
      </c>
      <c r="C12" s="247"/>
      <c r="D12" s="255"/>
      <c r="E12" s="252"/>
      <c r="F12" s="252"/>
      <c r="G12" s="252"/>
      <c r="H12" s="252"/>
      <c r="I12" s="247"/>
      <c r="J12" s="250"/>
      <c r="K12" s="36"/>
    </row>
    <row r="13" spans="1:12" ht="35.1" customHeight="1" x14ac:dyDescent="0.25">
      <c r="A13" s="90"/>
      <c r="B13" s="33" t="s">
        <v>58</v>
      </c>
      <c r="C13" s="247"/>
      <c r="D13" s="29"/>
      <c r="E13" s="16"/>
      <c r="F13" s="16"/>
      <c r="G13" s="16"/>
      <c r="H13" s="16"/>
      <c r="I13" s="247"/>
      <c r="J13" s="250"/>
      <c r="K13" s="36"/>
    </row>
    <row r="14" spans="1:12" ht="35.1" customHeight="1" x14ac:dyDescent="0.25">
      <c r="A14" s="90"/>
      <c r="B14" s="31" t="s">
        <v>56</v>
      </c>
      <c r="C14" s="247"/>
      <c r="D14" s="29"/>
      <c r="E14" s="16"/>
      <c r="F14" s="16"/>
      <c r="G14" s="16"/>
      <c r="H14" s="16"/>
      <c r="I14" s="247"/>
      <c r="J14" s="250"/>
      <c r="K14" s="208"/>
    </row>
    <row r="15" spans="1:12" ht="35.1" customHeight="1" x14ac:dyDescent="0.25">
      <c r="A15" s="90"/>
      <c r="B15" s="31" t="s">
        <v>28</v>
      </c>
      <c r="C15" s="247"/>
      <c r="D15" s="29"/>
      <c r="E15" s="16"/>
      <c r="F15" s="16"/>
      <c r="G15" s="16"/>
      <c r="H15" s="16"/>
      <c r="I15" s="247"/>
      <c r="J15" s="250"/>
      <c r="K15" s="209"/>
    </row>
    <row r="16" spans="1:12" ht="35.1" customHeight="1" thickBot="1" x14ac:dyDescent="0.3">
      <c r="A16" s="90"/>
      <c r="B16" s="31" t="s">
        <v>29</v>
      </c>
      <c r="C16" s="247"/>
      <c r="D16" s="29"/>
      <c r="E16" s="16"/>
      <c r="F16" s="16"/>
      <c r="G16" s="16"/>
      <c r="H16" s="16"/>
      <c r="I16" s="248"/>
      <c r="J16" s="251"/>
      <c r="K16" s="208"/>
    </row>
    <row r="17" spans="1:11" ht="35.1" customHeight="1" x14ac:dyDescent="0.25">
      <c r="A17" s="213"/>
      <c r="B17" s="40" t="s">
        <v>349</v>
      </c>
      <c r="C17" s="246" t="s">
        <v>24</v>
      </c>
      <c r="D17" s="41">
        <v>40</v>
      </c>
      <c r="E17" s="14">
        <v>200</v>
      </c>
      <c r="F17" s="14"/>
      <c r="G17" s="14"/>
      <c r="H17" s="14">
        <v>100</v>
      </c>
      <c r="I17" s="246"/>
      <c r="J17" s="249"/>
    </row>
    <row r="18" spans="1:11" ht="35.1" customHeight="1" x14ac:dyDescent="0.25">
      <c r="A18" s="212"/>
      <c r="B18" s="31" t="s">
        <v>30</v>
      </c>
      <c r="C18" s="247"/>
      <c r="D18" s="29"/>
      <c r="E18" s="93"/>
      <c r="F18" s="93"/>
      <c r="G18" s="93"/>
      <c r="H18" s="16"/>
      <c r="I18" s="247"/>
      <c r="J18" s="250"/>
    </row>
    <row r="19" spans="1:11" ht="35.1" customHeight="1" x14ac:dyDescent="0.25">
      <c r="A19" s="212"/>
      <c r="B19" s="31" t="s">
        <v>31</v>
      </c>
      <c r="C19" s="247"/>
      <c r="D19" s="29"/>
      <c r="E19" s="93"/>
      <c r="F19" s="93"/>
      <c r="G19" s="93"/>
      <c r="H19" s="16"/>
      <c r="I19" s="247"/>
      <c r="J19" s="250"/>
    </row>
    <row r="20" spans="1:11" ht="35.1" customHeight="1" x14ac:dyDescent="0.25">
      <c r="A20" s="212"/>
      <c r="B20" s="31" t="s">
        <v>84</v>
      </c>
      <c r="C20" s="247"/>
      <c r="D20" s="29"/>
      <c r="E20" s="93"/>
      <c r="F20" s="93"/>
      <c r="G20" s="93"/>
      <c r="H20" s="16"/>
      <c r="I20" s="247"/>
      <c r="J20" s="250"/>
    </row>
    <row r="21" spans="1:11" ht="35.1" customHeight="1" thickBot="1" x14ac:dyDescent="0.3">
      <c r="A21" s="212"/>
      <c r="B21" s="31"/>
      <c r="C21" s="248"/>
      <c r="D21" s="214"/>
      <c r="E21" s="158"/>
      <c r="F21" s="93"/>
      <c r="G21" s="93"/>
      <c r="H21" s="215"/>
      <c r="I21" s="248"/>
      <c r="J21" s="251"/>
    </row>
    <row r="22" spans="1:11" ht="35.1" customHeight="1" x14ac:dyDescent="0.25">
      <c r="A22" s="39"/>
      <c r="B22" s="88" t="s">
        <v>350</v>
      </c>
      <c r="C22" s="254" t="s">
        <v>24</v>
      </c>
      <c r="D22" s="41">
        <v>80</v>
      </c>
      <c r="E22" s="89">
        <v>870</v>
      </c>
      <c r="F22" s="15"/>
      <c r="G22" s="15"/>
      <c r="H22" s="24">
        <f>80*2.5</f>
        <v>200</v>
      </c>
      <c r="I22" s="322"/>
      <c r="J22" s="325"/>
      <c r="K22" s="208"/>
    </row>
    <row r="23" spans="1:11" ht="35.1" customHeight="1" x14ac:dyDescent="0.25">
      <c r="A23" s="92"/>
      <c r="B23" s="34" t="s">
        <v>32</v>
      </c>
      <c r="C23" s="315"/>
      <c r="D23" s="97"/>
      <c r="E23" s="95"/>
      <c r="F23" s="94"/>
      <c r="G23" s="94"/>
      <c r="H23" s="95"/>
      <c r="I23" s="323"/>
      <c r="J23" s="326"/>
      <c r="K23" s="37"/>
    </row>
    <row r="24" spans="1:11" ht="35.1" customHeight="1" x14ac:dyDescent="0.25">
      <c r="A24" s="92"/>
      <c r="B24" s="34" t="s">
        <v>33</v>
      </c>
      <c r="C24" s="315"/>
      <c r="D24" s="97"/>
      <c r="E24" s="95"/>
      <c r="F24" s="94"/>
      <c r="G24" s="94"/>
      <c r="H24" s="95"/>
      <c r="I24" s="323"/>
      <c r="J24" s="326"/>
      <c r="K24" s="37"/>
    </row>
    <row r="25" spans="1:11" ht="35.1" customHeight="1" x14ac:dyDescent="0.25">
      <c r="A25" s="92"/>
      <c r="B25" s="34"/>
      <c r="C25" s="315"/>
      <c r="D25" s="97"/>
      <c r="E25" s="95"/>
      <c r="F25" s="94"/>
      <c r="G25" s="94"/>
      <c r="H25" s="95"/>
      <c r="I25" s="323"/>
      <c r="J25" s="326"/>
      <c r="K25" s="37"/>
    </row>
    <row r="26" spans="1:11" ht="35.1" customHeight="1" x14ac:dyDescent="0.25">
      <c r="A26" s="92"/>
      <c r="B26" s="34"/>
      <c r="C26" s="315"/>
      <c r="D26" s="97"/>
      <c r="E26" s="95"/>
      <c r="F26" s="94"/>
      <c r="G26" s="94"/>
      <c r="H26" s="95"/>
      <c r="I26" s="323"/>
      <c r="J26" s="326"/>
      <c r="K26" s="37"/>
    </row>
    <row r="27" spans="1:11" ht="35.1" customHeight="1" x14ac:dyDescent="0.25">
      <c r="A27" s="92"/>
      <c r="B27" s="34"/>
      <c r="C27" s="315"/>
      <c r="D27" s="97"/>
      <c r="E27" s="95"/>
      <c r="F27" s="94"/>
      <c r="G27" s="94"/>
      <c r="H27" s="95"/>
      <c r="I27" s="323"/>
      <c r="J27" s="326"/>
      <c r="K27" s="37"/>
    </row>
    <row r="28" spans="1:11" ht="35.1" customHeight="1" x14ac:dyDescent="0.25">
      <c r="A28" s="92"/>
      <c r="B28" s="96"/>
      <c r="C28" s="315"/>
      <c r="D28" s="97"/>
      <c r="E28" s="95"/>
      <c r="F28" s="94"/>
      <c r="G28" s="94"/>
      <c r="H28" s="95"/>
      <c r="I28" s="323"/>
      <c r="J28" s="326"/>
      <c r="K28" s="37"/>
    </row>
    <row r="29" spans="1:11" ht="35.1" customHeight="1" x14ac:dyDescent="0.25">
      <c r="A29" s="92"/>
      <c r="B29" s="96"/>
      <c r="C29" s="315"/>
      <c r="D29" s="97"/>
      <c r="E29" s="95"/>
      <c r="F29" s="94"/>
      <c r="G29" s="94"/>
      <c r="H29" s="95"/>
      <c r="I29" s="323"/>
      <c r="J29" s="326"/>
      <c r="K29" s="37"/>
    </row>
    <row r="30" spans="1:11" ht="35.1" customHeight="1" thickBot="1" x14ac:dyDescent="0.3">
      <c r="A30" s="121"/>
      <c r="B30" s="204"/>
      <c r="C30" s="319"/>
      <c r="D30" s="100"/>
      <c r="E30" s="99"/>
      <c r="F30" s="42"/>
      <c r="G30" s="42"/>
      <c r="H30" s="99"/>
      <c r="I30" s="324"/>
      <c r="J30" s="327"/>
      <c r="K30" s="37"/>
    </row>
  </sheetData>
  <mergeCells count="28">
    <mergeCell ref="I6:I10"/>
    <mergeCell ref="J6:J10"/>
    <mergeCell ref="C22:C30"/>
    <mergeCell ref="I22:I30"/>
    <mergeCell ref="J22:J30"/>
    <mergeCell ref="J11:J16"/>
    <mergeCell ref="I11:I16"/>
    <mergeCell ref="I1:J1"/>
    <mergeCell ref="F2:F3"/>
    <mergeCell ref="G2:G3"/>
    <mergeCell ref="H1:H3"/>
    <mergeCell ref="A1:A3"/>
    <mergeCell ref="C1:C3"/>
    <mergeCell ref="D1:D3"/>
    <mergeCell ref="E1:E3"/>
    <mergeCell ref="F1:G1"/>
    <mergeCell ref="J2:J3"/>
    <mergeCell ref="I2:I3"/>
    <mergeCell ref="C6:C10"/>
    <mergeCell ref="C11:C16"/>
    <mergeCell ref="D11:D12"/>
    <mergeCell ref="E11:E12"/>
    <mergeCell ref="F11:F12"/>
    <mergeCell ref="G11:G12"/>
    <mergeCell ref="H11:H12"/>
    <mergeCell ref="C17:C21"/>
    <mergeCell ref="I17:I21"/>
    <mergeCell ref="J17:J21"/>
  </mergeCells>
  <pageMargins left="0.47" right="0.4" top="0.17" bottom="0.17" header="0.17" footer="0.17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38A7-A2DB-48F7-BF17-C227A56C76A2}">
  <dimension ref="A1:J92"/>
  <sheetViews>
    <sheetView zoomScale="70" zoomScaleNormal="70" workbookViewId="0">
      <selection activeCell="A2" sqref="A2"/>
    </sheetView>
  </sheetViews>
  <sheetFormatPr defaultRowHeight="15" x14ac:dyDescent="0.25"/>
  <cols>
    <col min="1" max="1" width="4.42578125" style="105" bestFit="1" customWidth="1"/>
    <col min="2" max="2" width="26.140625" style="105" bestFit="1" customWidth="1"/>
    <col min="3" max="3" width="8.7109375" style="106" bestFit="1" customWidth="1"/>
    <col min="4" max="4" width="11.28515625" style="105" bestFit="1" customWidth="1"/>
    <col min="5" max="5" width="59.7109375" style="105" bestFit="1" customWidth="1"/>
    <col min="6" max="6" width="16.85546875" style="105" bestFit="1" customWidth="1"/>
    <col min="7" max="7" width="16.85546875" style="105" customWidth="1"/>
    <col min="8" max="8" width="11.85546875" style="122" bestFit="1" customWidth="1"/>
    <col min="9" max="9" width="12.42578125" style="107" bestFit="1" customWidth="1"/>
    <col min="10" max="10" width="5.5703125" style="107" bestFit="1" customWidth="1"/>
    <col min="12" max="12" width="24.42578125" bestFit="1" customWidth="1"/>
    <col min="14" max="14" width="48.28515625" bestFit="1" customWidth="1"/>
    <col min="16" max="16" width="12" bestFit="1" customWidth="1"/>
  </cols>
  <sheetData>
    <row r="1" spans="1:10" ht="16.5" thickBot="1" x14ac:dyDescent="0.3">
      <c r="A1" s="269" t="s">
        <v>139</v>
      </c>
      <c r="B1" s="270"/>
      <c r="C1" s="270"/>
      <c r="D1" s="270"/>
      <c r="E1" s="270"/>
      <c r="F1" s="270"/>
      <c r="G1" s="270"/>
      <c r="H1" s="270"/>
      <c r="I1" s="270"/>
      <c r="J1" s="271"/>
    </row>
    <row r="2" spans="1:10" ht="20.100000000000001" customHeight="1" thickBot="1" x14ac:dyDescent="0.3">
      <c r="A2" s="171" t="s">
        <v>2</v>
      </c>
      <c r="B2" s="172" t="s">
        <v>3</v>
      </c>
      <c r="C2" s="172" t="s">
        <v>4</v>
      </c>
      <c r="D2" s="173" t="s">
        <v>67</v>
      </c>
      <c r="E2" s="172" t="s">
        <v>5</v>
      </c>
      <c r="F2" s="172" t="s">
        <v>69</v>
      </c>
      <c r="G2" s="172" t="s">
        <v>112</v>
      </c>
      <c r="H2" s="174" t="s">
        <v>98</v>
      </c>
      <c r="I2" s="174" t="s">
        <v>99</v>
      </c>
      <c r="J2" s="175" t="s">
        <v>100</v>
      </c>
    </row>
    <row r="3" spans="1:10" ht="20.100000000000001" customHeight="1" x14ac:dyDescent="0.25">
      <c r="A3" s="149">
        <v>1</v>
      </c>
      <c r="B3" s="135"/>
      <c r="C3" s="176"/>
      <c r="D3" s="137"/>
      <c r="E3" s="135"/>
      <c r="F3" s="135"/>
      <c r="G3" s="177"/>
      <c r="H3" s="273"/>
      <c r="I3" s="178" t="s">
        <v>110</v>
      </c>
      <c r="J3" s="272">
        <v>2</v>
      </c>
    </row>
    <row r="4" spans="1:10" ht="20.100000000000001" customHeight="1" x14ac:dyDescent="0.25">
      <c r="A4" s="123">
        <v>2</v>
      </c>
      <c r="B4" s="103"/>
      <c r="C4" s="160"/>
      <c r="D4" s="104"/>
      <c r="E4" s="103"/>
      <c r="F4" s="103"/>
      <c r="G4" s="163"/>
      <c r="H4" s="274"/>
      <c r="I4" s="161" t="s">
        <v>111</v>
      </c>
      <c r="J4" s="267"/>
    </row>
    <row r="5" spans="1:10" ht="20.100000000000001" customHeight="1" x14ac:dyDescent="0.25">
      <c r="A5" s="123">
        <v>3</v>
      </c>
      <c r="B5" s="103"/>
      <c r="C5" s="160"/>
      <c r="D5" s="104"/>
      <c r="E5" s="103"/>
      <c r="F5" s="103"/>
      <c r="G5" s="163"/>
      <c r="H5" s="274"/>
      <c r="I5" s="161" t="s">
        <v>101</v>
      </c>
      <c r="J5" s="267"/>
    </row>
    <row r="6" spans="1:10" ht="20.100000000000001" customHeight="1" x14ac:dyDescent="0.25">
      <c r="A6" s="123">
        <v>4</v>
      </c>
      <c r="B6" s="103"/>
      <c r="C6" s="160"/>
      <c r="D6" s="104"/>
      <c r="E6" s="103"/>
      <c r="F6" s="103"/>
      <c r="G6" s="163"/>
      <c r="H6" s="274"/>
      <c r="I6" s="161" t="s">
        <v>102</v>
      </c>
      <c r="J6" s="267"/>
    </row>
    <row r="7" spans="1:10" ht="20.100000000000001" customHeight="1" x14ac:dyDescent="0.25">
      <c r="A7" s="123">
        <v>5</v>
      </c>
      <c r="B7" s="103"/>
      <c r="C7" s="160"/>
      <c r="D7" s="104"/>
      <c r="E7" s="103"/>
      <c r="F7" s="103"/>
      <c r="G7" s="163"/>
      <c r="H7" s="274"/>
      <c r="I7" s="161" t="s">
        <v>110</v>
      </c>
      <c r="J7" s="267">
        <v>3</v>
      </c>
    </row>
    <row r="8" spans="1:10" ht="20.100000000000001" customHeight="1" x14ac:dyDescent="0.25">
      <c r="A8" s="123">
        <v>6</v>
      </c>
      <c r="B8" s="103"/>
      <c r="C8" s="160"/>
      <c r="D8" s="104"/>
      <c r="E8" s="103"/>
      <c r="F8" s="103"/>
      <c r="G8" s="163"/>
      <c r="H8" s="274"/>
      <c r="I8" s="161" t="s">
        <v>111</v>
      </c>
      <c r="J8" s="267"/>
    </row>
    <row r="9" spans="1:10" ht="20.100000000000001" customHeight="1" x14ac:dyDescent="0.25">
      <c r="A9" s="123">
        <v>7</v>
      </c>
      <c r="B9" s="103"/>
      <c r="C9" s="160"/>
      <c r="D9" s="104"/>
      <c r="E9" s="103"/>
      <c r="F9" s="103"/>
      <c r="G9" s="163"/>
      <c r="H9" s="274"/>
      <c r="I9" s="161" t="s">
        <v>101</v>
      </c>
      <c r="J9" s="267"/>
    </row>
    <row r="10" spans="1:10" ht="20.100000000000001" customHeight="1" x14ac:dyDescent="0.25">
      <c r="A10" s="123">
        <v>8</v>
      </c>
      <c r="B10" s="103"/>
      <c r="C10" s="160"/>
      <c r="D10" s="104"/>
      <c r="E10" s="103"/>
      <c r="F10" s="103"/>
      <c r="G10" s="163"/>
      <c r="H10" s="274"/>
      <c r="I10" s="161" t="s">
        <v>102</v>
      </c>
      <c r="J10" s="267"/>
    </row>
    <row r="11" spans="1:10" ht="20.100000000000001" customHeight="1" x14ac:dyDescent="0.25">
      <c r="A11" s="123">
        <v>9</v>
      </c>
      <c r="B11" s="103"/>
      <c r="C11" s="160"/>
      <c r="D11" s="104"/>
      <c r="E11" s="103"/>
      <c r="F11" s="103"/>
      <c r="G11" s="163"/>
      <c r="H11" s="274"/>
      <c r="I11" s="161" t="s">
        <v>110</v>
      </c>
      <c r="J11" s="267">
        <v>4</v>
      </c>
    </row>
    <row r="12" spans="1:10" ht="20.100000000000001" customHeight="1" x14ac:dyDescent="0.25">
      <c r="A12" s="123">
        <v>10</v>
      </c>
      <c r="B12" s="103"/>
      <c r="C12" s="160"/>
      <c r="D12" s="104"/>
      <c r="E12" s="103"/>
      <c r="F12" s="103"/>
      <c r="G12" s="163"/>
      <c r="H12" s="274"/>
      <c r="I12" s="161" t="s">
        <v>111</v>
      </c>
      <c r="J12" s="267"/>
    </row>
    <row r="13" spans="1:10" ht="20.100000000000001" customHeight="1" x14ac:dyDescent="0.25">
      <c r="A13" s="123">
        <v>11</v>
      </c>
      <c r="B13" s="103"/>
      <c r="C13" s="160"/>
      <c r="D13" s="104"/>
      <c r="E13" s="103"/>
      <c r="F13" s="103"/>
      <c r="G13" s="163"/>
      <c r="H13" s="274"/>
      <c r="I13" s="161" t="s">
        <v>101</v>
      </c>
      <c r="J13" s="267"/>
    </row>
    <row r="14" spans="1:10" ht="20.100000000000001" customHeight="1" thickBot="1" x14ac:dyDescent="0.3">
      <c r="A14" s="150">
        <v>12</v>
      </c>
      <c r="B14" s="141"/>
      <c r="C14" s="164"/>
      <c r="D14" s="143"/>
      <c r="E14" s="141"/>
      <c r="F14" s="141"/>
      <c r="G14" s="165"/>
      <c r="H14" s="275"/>
      <c r="I14" s="166" t="s">
        <v>102</v>
      </c>
      <c r="J14" s="268"/>
    </row>
    <row r="15" spans="1:10" ht="20.100000000000001" customHeight="1" x14ac:dyDescent="0.25">
      <c r="A15" s="149">
        <v>13</v>
      </c>
      <c r="B15" s="135"/>
      <c r="C15" s="176"/>
      <c r="D15" s="137"/>
      <c r="E15" s="135"/>
      <c r="F15" s="135"/>
      <c r="G15" s="177"/>
      <c r="H15" s="276"/>
      <c r="I15" s="178" t="s">
        <v>110</v>
      </c>
      <c r="J15" s="272">
        <v>1</v>
      </c>
    </row>
    <row r="16" spans="1:10" ht="20.100000000000001" customHeight="1" x14ac:dyDescent="0.25">
      <c r="A16" s="123">
        <v>14</v>
      </c>
      <c r="B16" s="103"/>
      <c r="C16" s="160"/>
      <c r="D16" s="104"/>
      <c r="E16" s="103"/>
      <c r="F16" s="103"/>
      <c r="G16" s="163"/>
      <c r="H16" s="277"/>
      <c r="I16" s="161" t="s">
        <v>111</v>
      </c>
      <c r="J16" s="267"/>
    </row>
    <row r="17" spans="1:10" ht="20.100000000000001" customHeight="1" x14ac:dyDescent="0.25">
      <c r="A17" s="123">
        <v>15</v>
      </c>
      <c r="B17" s="103"/>
      <c r="C17" s="160"/>
      <c r="D17" s="104"/>
      <c r="E17" s="103"/>
      <c r="F17" s="103"/>
      <c r="G17" s="163"/>
      <c r="H17" s="277"/>
      <c r="I17" s="161" t="s">
        <v>101</v>
      </c>
      <c r="J17" s="267"/>
    </row>
    <row r="18" spans="1:10" ht="20.100000000000001" customHeight="1" x14ac:dyDescent="0.25">
      <c r="A18" s="123">
        <v>16</v>
      </c>
      <c r="B18" s="103"/>
      <c r="C18" s="160"/>
      <c r="D18" s="104"/>
      <c r="E18" s="103"/>
      <c r="F18" s="103"/>
      <c r="G18" s="163"/>
      <c r="H18" s="277"/>
      <c r="I18" s="161" t="s">
        <v>102</v>
      </c>
      <c r="J18" s="267"/>
    </row>
    <row r="19" spans="1:10" ht="20.100000000000001" customHeight="1" x14ac:dyDescent="0.25">
      <c r="A19" s="123">
        <v>17</v>
      </c>
      <c r="B19" s="103"/>
      <c r="C19" s="160"/>
      <c r="D19" s="104"/>
      <c r="E19" s="103"/>
      <c r="F19" s="103"/>
      <c r="G19" s="163"/>
      <c r="H19" s="277"/>
      <c r="I19" s="161" t="s">
        <v>110</v>
      </c>
      <c r="J19" s="267">
        <v>2</v>
      </c>
    </row>
    <row r="20" spans="1:10" ht="20.100000000000001" customHeight="1" x14ac:dyDescent="0.25">
      <c r="A20" s="123">
        <v>18</v>
      </c>
      <c r="B20" s="103"/>
      <c r="C20" s="160"/>
      <c r="D20" s="104"/>
      <c r="E20" s="103"/>
      <c r="F20" s="103"/>
      <c r="G20" s="163"/>
      <c r="H20" s="277"/>
      <c r="I20" s="161" t="s">
        <v>111</v>
      </c>
      <c r="J20" s="267"/>
    </row>
    <row r="21" spans="1:10" ht="20.100000000000001" customHeight="1" x14ac:dyDescent="0.25">
      <c r="A21" s="123">
        <v>19</v>
      </c>
      <c r="B21" s="103"/>
      <c r="C21" s="160"/>
      <c r="D21" s="104"/>
      <c r="E21" s="103"/>
      <c r="F21" s="103"/>
      <c r="G21" s="163"/>
      <c r="H21" s="277"/>
      <c r="I21" s="161" t="s">
        <v>101</v>
      </c>
      <c r="J21" s="267"/>
    </row>
    <row r="22" spans="1:10" ht="20.100000000000001" customHeight="1" x14ac:dyDescent="0.25">
      <c r="A22" s="123">
        <v>20</v>
      </c>
      <c r="B22" s="103"/>
      <c r="C22" s="160"/>
      <c r="D22" s="104"/>
      <c r="E22" s="103"/>
      <c r="F22" s="103"/>
      <c r="G22" s="163"/>
      <c r="H22" s="277"/>
      <c r="I22" s="161" t="s">
        <v>102</v>
      </c>
      <c r="J22" s="267"/>
    </row>
    <row r="23" spans="1:10" ht="20.100000000000001" customHeight="1" x14ac:dyDescent="0.25">
      <c r="A23" s="123">
        <v>21</v>
      </c>
      <c r="B23" s="103"/>
      <c r="C23" s="160"/>
      <c r="D23" s="104"/>
      <c r="E23" s="103"/>
      <c r="F23" s="103"/>
      <c r="G23" s="163"/>
      <c r="H23" s="277"/>
      <c r="I23" s="161" t="s">
        <v>110</v>
      </c>
      <c r="J23" s="267">
        <v>3</v>
      </c>
    </row>
    <row r="24" spans="1:10" ht="20.100000000000001" customHeight="1" x14ac:dyDescent="0.25">
      <c r="A24" s="123">
        <v>22</v>
      </c>
      <c r="B24" s="103"/>
      <c r="C24" s="160"/>
      <c r="D24" s="104"/>
      <c r="E24" s="103"/>
      <c r="F24" s="103"/>
      <c r="G24" s="163"/>
      <c r="H24" s="277"/>
      <c r="I24" s="161" t="s">
        <v>111</v>
      </c>
      <c r="J24" s="267"/>
    </row>
    <row r="25" spans="1:10" ht="20.100000000000001" customHeight="1" x14ac:dyDescent="0.25">
      <c r="A25" s="123">
        <v>23</v>
      </c>
      <c r="B25" s="103"/>
      <c r="C25" s="160"/>
      <c r="D25" s="104"/>
      <c r="E25" s="103"/>
      <c r="F25" s="103"/>
      <c r="G25" s="163"/>
      <c r="H25" s="277"/>
      <c r="I25" s="161" t="s">
        <v>101</v>
      </c>
      <c r="J25" s="267"/>
    </row>
    <row r="26" spans="1:10" ht="20.100000000000001" customHeight="1" x14ac:dyDescent="0.25">
      <c r="A26" s="123">
        <v>24</v>
      </c>
      <c r="B26" s="103"/>
      <c r="C26" s="160"/>
      <c r="D26" s="104"/>
      <c r="E26" s="103"/>
      <c r="F26" s="103"/>
      <c r="G26" s="163"/>
      <c r="H26" s="277"/>
      <c r="I26" s="161" t="s">
        <v>102</v>
      </c>
      <c r="J26" s="267"/>
    </row>
    <row r="27" spans="1:10" ht="20.100000000000001" customHeight="1" x14ac:dyDescent="0.25">
      <c r="A27" s="123">
        <v>25</v>
      </c>
      <c r="B27" s="103"/>
      <c r="C27" s="160"/>
      <c r="D27" s="104"/>
      <c r="E27" s="103"/>
      <c r="F27" s="103"/>
      <c r="G27" s="163"/>
      <c r="H27" s="277"/>
      <c r="I27" s="161" t="s">
        <v>110</v>
      </c>
      <c r="J27" s="267">
        <v>4</v>
      </c>
    </row>
    <row r="28" spans="1:10" ht="20.100000000000001" customHeight="1" x14ac:dyDescent="0.25">
      <c r="A28" s="123">
        <v>26</v>
      </c>
      <c r="B28" s="103"/>
      <c r="C28" s="160"/>
      <c r="D28" s="104"/>
      <c r="E28" s="103"/>
      <c r="F28" s="103"/>
      <c r="G28" s="163"/>
      <c r="H28" s="277"/>
      <c r="I28" s="161" t="s">
        <v>111</v>
      </c>
      <c r="J28" s="267"/>
    </row>
    <row r="29" spans="1:10" ht="20.100000000000001" customHeight="1" x14ac:dyDescent="0.25">
      <c r="A29" s="123">
        <v>27</v>
      </c>
      <c r="B29" s="103"/>
      <c r="C29" s="160"/>
      <c r="D29" s="104"/>
      <c r="E29" s="103"/>
      <c r="F29" s="103"/>
      <c r="G29" s="163"/>
      <c r="H29" s="277"/>
      <c r="I29" s="161" t="s">
        <v>101</v>
      </c>
      <c r="J29" s="267"/>
    </row>
    <row r="30" spans="1:10" ht="20.100000000000001" customHeight="1" thickBot="1" x14ac:dyDescent="0.3">
      <c r="A30" s="150">
        <v>28</v>
      </c>
      <c r="B30" s="141"/>
      <c r="C30" s="164"/>
      <c r="D30" s="143"/>
      <c r="E30" s="141"/>
      <c r="F30" s="141"/>
      <c r="G30" s="165"/>
      <c r="H30" s="278"/>
      <c r="I30" s="166" t="s">
        <v>102</v>
      </c>
      <c r="J30" s="268"/>
    </row>
    <row r="31" spans="1:10" ht="20.100000000000001" customHeight="1" x14ac:dyDescent="0.25">
      <c r="A31" s="179">
        <v>29</v>
      </c>
      <c r="B31" s="135"/>
      <c r="C31" s="176"/>
      <c r="D31" s="137"/>
      <c r="E31" s="135"/>
      <c r="F31" s="135"/>
      <c r="G31" s="177"/>
      <c r="H31" s="276"/>
      <c r="I31" s="178" t="s">
        <v>110</v>
      </c>
      <c r="J31" s="272">
        <v>1</v>
      </c>
    </row>
    <row r="32" spans="1:10" ht="20.100000000000001" customHeight="1" x14ac:dyDescent="0.25">
      <c r="A32" s="123">
        <v>30</v>
      </c>
      <c r="B32" s="103"/>
      <c r="C32" s="160"/>
      <c r="D32" s="104"/>
      <c r="E32" s="103"/>
      <c r="F32" s="103"/>
      <c r="G32" s="163"/>
      <c r="H32" s="277"/>
      <c r="I32" s="161" t="s">
        <v>111</v>
      </c>
      <c r="J32" s="267"/>
    </row>
    <row r="33" spans="1:10" ht="20.100000000000001" customHeight="1" x14ac:dyDescent="0.25">
      <c r="A33" s="123">
        <v>31</v>
      </c>
      <c r="B33" s="103"/>
      <c r="C33" s="160"/>
      <c r="D33" s="104"/>
      <c r="E33" s="103"/>
      <c r="F33" s="103"/>
      <c r="G33" s="163"/>
      <c r="H33" s="277"/>
      <c r="I33" s="161" t="s">
        <v>101</v>
      </c>
      <c r="J33" s="267"/>
    </row>
    <row r="34" spans="1:10" ht="20.100000000000001" customHeight="1" x14ac:dyDescent="0.25">
      <c r="A34" s="123">
        <v>32</v>
      </c>
      <c r="B34" s="103"/>
      <c r="C34" s="160"/>
      <c r="D34" s="104"/>
      <c r="E34" s="103"/>
      <c r="F34" s="103"/>
      <c r="G34" s="163"/>
      <c r="H34" s="277"/>
      <c r="I34" s="161" t="s">
        <v>102</v>
      </c>
      <c r="J34" s="267"/>
    </row>
    <row r="35" spans="1:10" ht="20.100000000000001" customHeight="1" x14ac:dyDescent="0.25">
      <c r="A35" s="123">
        <v>33</v>
      </c>
      <c r="B35" s="103"/>
      <c r="C35" s="160"/>
      <c r="D35" s="104"/>
      <c r="E35" s="103"/>
      <c r="F35" s="103"/>
      <c r="G35" s="163"/>
      <c r="H35" s="277"/>
      <c r="I35" s="161" t="s">
        <v>110</v>
      </c>
      <c r="J35" s="267">
        <v>2</v>
      </c>
    </row>
    <row r="36" spans="1:10" ht="20.100000000000001" customHeight="1" x14ac:dyDescent="0.25">
      <c r="A36" s="123">
        <v>34</v>
      </c>
      <c r="B36" s="103"/>
      <c r="C36" s="160"/>
      <c r="D36" s="104"/>
      <c r="E36" s="103"/>
      <c r="F36" s="103"/>
      <c r="G36" s="163"/>
      <c r="H36" s="277"/>
      <c r="I36" s="161" t="s">
        <v>111</v>
      </c>
      <c r="J36" s="267"/>
    </row>
    <row r="37" spans="1:10" ht="20.100000000000001" customHeight="1" x14ac:dyDescent="0.25">
      <c r="A37" s="123">
        <v>35</v>
      </c>
      <c r="B37" s="103"/>
      <c r="C37" s="160"/>
      <c r="D37" s="104"/>
      <c r="E37" s="103"/>
      <c r="F37" s="103"/>
      <c r="G37" s="163"/>
      <c r="H37" s="277"/>
      <c r="I37" s="161" t="s">
        <v>101</v>
      </c>
      <c r="J37" s="267"/>
    </row>
    <row r="38" spans="1:10" ht="20.100000000000001" customHeight="1" x14ac:dyDescent="0.25">
      <c r="A38" s="123">
        <v>36</v>
      </c>
      <c r="B38" s="103"/>
      <c r="C38" s="160"/>
      <c r="D38" s="104"/>
      <c r="E38" s="103"/>
      <c r="F38" s="103"/>
      <c r="G38" s="163"/>
      <c r="H38" s="277"/>
      <c r="I38" s="161" t="s">
        <v>102</v>
      </c>
      <c r="J38" s="267"/>
    </row>
    <row r="39" spans="1:10" ht="20.100000000000001" customHeight="1" x14ac:dyDescent="0.25">
      <c r="A39" s="123">
        <v>37</v>
      </c>
      <c r="B39" s="103"/>
      <c r="C39" s="160"/>
      <c r="D39" s="104"/>
      <c r="E39" s="103"/>
      <c r="F39" s="103"/>
      <c r="G39" s="163"/>
      <c r="H39" s="277"/>
      <c r="I39" s="161" t="s">
        <v>110</v>
      </c>
      <c r="J39" s="267">
        <v>3</v>
      </c>
    </row>
    <row r="40" spans="1:10" ht="20.100000000000001" customHeight="1" x14ac:dyDescent="0.25">
      <c r="A40" s="123">
        <v>38</v>
      </c>
      <c r="B40" s="103"/>
      <c r="C40" s="160"/>
      <c r="D40" s="104"/>
      <c r="E40" s="103"/>
      <c r="F40" s="103"/>
      <c r="G40" s="163"/>
      <c r="H40" s="277"/>
      <c r="I40" s="161" t="s">
        <v>111</v>
      </c>
      <c r="J40" s="267"/>
    </row>
    <row r="41" spans="1:10" ht="20.100000000000001" customHeight="1" x14ac:dyDescent="0.25">
      <c r="A41" s="123">
        <v>39</v>
      </c>
      <c r="B41" s="103"/>
      <c r="C41" s="160"/>
      <c r="D41" s="104"/>
      <c r="E41" s="103"/>
      <c r="F41" s="103"/>
      <c r="G41" s="163"/>
      <c r="H41" s="277"/>
      <c r="I41" s="161" t="s">
        <v>101</v>
      </c>
      <c r="J41" s="267"/>
    </row>
    <row r="42" spans="1:10" ht="20.100000000000001" customHeight="1" x14ac:dyDescent="0.25">
      <c r="A42" s="123">
        <v>40</v>
      </c>
      <c r="B42" s="103"/>
      <c r="C42" s="160"/>
      <c r="D42" s="104"/>
      <c r="E42" s="103"/>
      <c r="F42" s="103"/>
      <c r="G42" s="163"/>
      <c r="H42" s="277"/>
      <c r="I42" s="161" t="s">
        <v>102</v>
      </c>
      <c r="J42" s="267"/>
    </row>
    <row r="43" spans="1:10" ht="20.100000000000001" customHeight="1" x14ac:dyDescent="0.25">
      <c r="A43" s="123">
        <v>41</v>
      </c>
      <c r="B43" s="103"/>
      <c r="C43" s="160"/>
      <c r="D43" s="104"/>
      <c r="E43" s="103"/>
      <c r="F43" s="103"/>
      <c r="G43" s="163"/>
      <c r="H43" s="277"/>
      <c r="I43" s="161" t="s">
        <v>110</v>
      </c>
      <c r="J43" s="267">
        <v>4</v>
      </c>
    </row>
    <row r="44" spans="1:10" ht="20.100000000000001" customHeight="1" x14ac:dyDescent="0.25">
      <c r="A44" s="123">
        <v>42</v>
      </c>
      <c r="B44" s="103"/>
      <c r="C44" s="160"/>
      <c r="D44" s="104"/>
      <c r="E44" s="103"/>
      <c r="F44" s="103"/>
      <c r="G44" s="163"/>
      <c r="H44" s="277"/>
      <c r="I44" s="161" t="s">
        <v>111</v>
      </c>
      <c r="J44" s="267"/>
    </row>
    <row r="45" spans="1:10" ht="20.100000000000001" customHeight="1" x14ac:dyDescent="0.25">
      <c r="A45" s="123">
        <v>43</v>
      </c>
      <c r="B45" s="103"/>
      <c r="C45" s="160"/>
      <c r="D45" s="104"/>
      <c r="E45" s="103"/>
      <c r="F45" s="103"/>
      <c r="G45" s="163"/>
      <c r="H45" s="277"/>
      <c r="I45" s="161" t="s">
        <v>101</v>
      </c>
      <c r="J45" s="267"/>
    </row>
    <row r="46" spans="1:10" ht="20.100000000000001" customHeight="1" thickBot="1" x14ac:dyDescent="0.3">
      <c r="A46" s="123">
        <v>44</v>
      </c>
      <c r="B46" s="141"/>
      <c r="C46" s="164"/>
      <c r="D46" s="143"/>
      <c r="E46" s="141"/>
      <c r="F46" s="141"/>
      <c r="G46" s="165"/>
      <c r="H46" s="278"/>
      <c r="I46" s="166" t="s">
        <v>102</v>
      </c>
      <c r="J46" s="268"/>
    </row>
    <row r="47" spans="1:10" ht="20.100000000000001" customHeight="1" x14ac:dyDescent="0.25">
      <c r="A47" s="123">
        <v>45</v>
      </c>
      <c r="B47" s="135"/>
      <c r="C47" s="176"/>
      <c r="D47" s="137"/>
      <c r="E47" s="135"/>
      <c r="F47" s="135"/>
      <c r="G47" s="177"/>
      <c r="H47" s="276"/>
      <c r="I47" s="178" t="s">
        <v>110</v>
      </c>
      <c r="J47" s="272">
        <v>1</v>
      </c>
    </row>
    <row r="48" spans="1:10" ht="20.100000000000001" customHeight="1" x14ac:dyDescent="0.25">
      <c r="A48" s="123">
        <v>46</v>
      </c>
      <c r="B48" s="103"/>
      <c r="C48" s="160"/>
      <c r="D48" s="104"/>
      <c r="E48" s="103"/>
      <c r="F48" s="103"/>
      <c r="G48" s="163"/>
      <c r="H48" s="277"/>
      <c r="I48" s="161" t="s">
        <v>111</v>
      </c>
      <c r="J48" s="267"/>
    </row>
    <row r="49" spans="1:10" ht="20.100000000000001" customHeight="1" x14ac:dyDescent="0.25">
      <c r="A49" s="123">
        <v>47</v>
      </c>
      <c r="B49" s="103"/>
      <c r="C49" s="160"/>
      <c r="D49" s="104"/>
      <c r="E49" s="103"/>
      <c r="F49" s="103"/>
      <c r="G49" s="163"/>
      <c r="H49" s="277"/>
      <c r="I49" s="161" t="s">
        <v>101</v>
      </c>
      <c r="J49" s="267"/>
    </row>
    <row r="50" spans="1:10" ht="20.100000000000001" customHeight="1" x14ac:dyDescent="0.25">
      <c r="A50" s="123">
        <v>48</v>
      </c>
      <c r="B50" s="103"/>
      <c r="C50" s="160"/>
      <c r="D50" s="104"/>
      <c r="E50" s="103"/>
      <c r="F50" s="103"/>
      <c r="G50" s="163"/>
      <c r="H50" s="277"/>
      <c r="I50" s="161" t="s">
        <v>102</v>
      </c>
      <c r="J50" s="267"/>
    </row>
    <row r="51" spans="1:10" ht="20.100000000000001" customHeight="1" x14ac:dyDescent="0.25">
      <c r="A51" s="123">
        <v>49</v>
      </c>
      <c r="B51" s="103"/>
      <c r="C51" s="160"/>
      <c r="D51" s="104"/>
      <c r="E51" s="103"/>
      <c r="F51" s="103"/>
      <c r="G51" s="163"/>
      <c r="H51" s="277"/>
      <c r="I51" s="161" t="s">
        <v>110</v>
      </c>
      <c r="J51" s="267">
        <v>2</v>
      </c>
    </row>
    <row r="52" spans="1:10" ht="20.100000000000001" customHeight="1" x14ac:dyDescent="0.25">
      <c r="A52" s="123">
        <v>50</v>
      </c>
      <c r="B52" s="103"/>
      <c r="C52" s="160"/>
      <c r="D52" s="104"/>
      <c r="E52" s="103"/>
      <c r="F52" s="103"/>
      <c r="G52" s="163"/>
      <c r="H52" s="277"/>
      <c r="I52" s="161" t="s">
        <v>111</v>
      </c>
      <c r="J52" s="267"/>
    </row>
    <row r="53" spans="1:10" ht="20.100000000000001" customHeight="1" x14ac:dyDescent="0.25">
      <c r="A53" s="123">
        <v>51</v>
      </c>
      <c r="B53" s="103"/>
      <c r="C53" s="160"/>
      <c r="D53" s="104"/>
      <c r="E53" s="103"/>
      <c r="F53" s="103"/>
      <c r="G53" s="163"/>
      <c r="H53" s="277"/>
      <c r="I53" s="161" t="s">
        <v>101</v>
      </c>
      <c r="J53" s="267"/>
    </row>
    <row r="54" spans="1:10" ht="20.100000000000001" customHeight="1" x14ac:dyDescent="0.25">
      <c r="A54" s="123">
        <v>52</v>
      </c>
      <c r="B54" s="103"/>
      <c r="C54" s="160"/>
      <c r="D54" s="104"/>
      <c r="E54" s="103"/>
      <c r="F54" s="103"/>
      <c r="G54" s="163"/>
      <c r="H54" s="277"/>
      <c r="I54" s="161" t="s">
        <v>102</v>
      </c>
      <c r="J54" s="267"/>
    </row>
    <row r="55" spans="1:10" ht="20.100000000000001" customHeight="1" x14ac:dyDescent="0.25">
      <c r="A55" s="123">
        <v>53</v>
      </c>
      <c r="B55" s="103"/>
      <c r="C55" s="160"/>
      <c r="D55" s="104"/>
      <c r="E55" s="103"/>
      <c r="F55" s="103"/>
      <c r="G55" s="163"/>
      <c r="H55" s="277"/>
      <c r="I55" s="161" t="s">
        <v>110</v>
      </c>
      <c r="J55" s="267">
        <v>3</v>
      </c>
    </row>
    <row r="56" spans="1:10" ht="20.100000000000001" customHeight="1" x14ac:dyDescent="0.25">
      <c r="A56" s="123">
        <v>54</v>
      </c>
      <c r="B56" s="103"/>
      <c r="C56" s="160"/>
      <c r="D56" s="104"/>
      <c r="E56" s="103"/>
      <c r="F56" s="103"/>
      <c r="G56" s="163"/>
      <c r="H56" s="277"/>
      <c r="I56" s="161" t="s">
        <v>111</v>
      </c>
      <c r="J56" s="267"/>
    </row>
    <row r="57" spans="1:10" ht="20.100000000000001" customHeight="1" x14ac:dyDescent="0.25">
      <c r="A57" s="123">
        <v>55</v>
      </c>
      <c r="B57" s="103"/>
      <c r="C57" s="160"/>
      <c r="D57" s="104"/>
      <c r="E57" s="103"/>
      <c r="F57" s="103"/>
      <c r="G57" s="163"/>
      <c r="H57" s="277"/>
      <c r="I57" s="161" t="s">
        <v>101</v>
      </c>
      <c r="J57" s="267"/>
    </row>
    <row r="58" spans="1:10" ht="20.100000000000001" customHeight="1" x14ac:dyDescent="0.25">
      <c r="A58" s="123">
        <v>56</v>
      </c>
      <c r="B58" s="103"/>
      <c r="C58" s="160"/>
      <c r="D58" s="104"/>
      <c r="E58" s="103"/>
      <c r="F58" s="103"/>
      <c r="G58" s="163"/>
      <c r="H58" s="277"/>
      <c r="I58" s="161" t="s">
        <v>102</v>
      </c>
      <c r="J58" s="267"/>
    </row>
    <row r="59" spans="1:10" ht="20.100000000000001" customHeight="1" x14ac:dyDescent="0.25">
      <c r="A59" s="123">
        <v>57</v>
      </c>
      <c r="B59" s="103"/>
      <c r="C59" s="160"/>
      <c r="D59" s="104"/>
      <c r="E59" s="103"/>
      <c r="F59" s="103"/>
      <c r="G59" s="163"/>
      <c r="H59" s="277"/>
      <c r="I59" s="161" t="s">
        <v>110</v>
      </c>
      <c r="J59" s="267">
        <v>4</v>
      </c>
    </row>
    <row r="60" spans="1:10" ht="20.100000000000001" customHeight="1" x14ac:dyDescent="0.25">
      <c r="A60" s="123">
        <v>58</v>
      </c>
      <c r="B60" s="103"/>
      <c r="C60" s="160"/>
      <c r="D60" s="104"/>
      <c r="E60" s="103"/>
      <c r="F60" s="103"/>
      <c r="G60" s="163"/>
      <c r="H60" s="277"/>
      <c r="I60" s="161" t="s">
        <v>111</v>
      </c>
      <c r="J60" s="267"/>
    </row>
    <row r="61" spans="1:10" ht="20.100000000000001" customHeight="1" x14ac:dyDescent="0.25">
      <c r="A61" s="123">
        <v>59</v>
      </c>
      <c r="B61" s="103"/>
      <c r="C61" s="160"/>
      <c r="D61" s="104"/>
      <c r="E61" s="103"/>
      <c r="F61" s="103"/>
      <c r="G61" s="163"/>
      <c r="H61" s="277"/>
      <c r="I61" s="161" t="s">
        <v>101</v>
      </c>
      <c r="J61" s="267"/>
    </row>
    <row r="62" spans="1:10" ht="20.100000000000001" customHeight="1" thickBot="1" x14ac:dyDescent="0.3">
      <c r="A62" s="123">
        <v>60</v>
      </c>
      <c r="B62" s="141"/>
      <c r="C62" s="164"/>
      <c r="D62" s="143"/>
      <c r="E62" s="141"/>
      <c r="F62" s="141"/>
      <c r="G62" s="165"/>
      <c r="H62" s="278"/>
      <c r="I62" s="166" t="s">
        <v>102</v>
      </c>
      <c r="J62" s="268"/>
    </row>
    <row r="63" spans="1:10" ht="20.100000000000001" customHeight="1" x14ac:dyDescent="0.25">
      <c r="A63" s="123">
        <v>61</v>
      </c>
      <c r="B63" s="135"/>
      <c r="C63" s="176"/>
      <c r="D63" s="137"/>
      <c r="E63" s="135"/>
      <c r="F63" s="135"/>
      <c r="G63" s="177"/>
      <c r="H63" s="276"/>
      <c r="I63" s="178" t="s">
        <v>110</v>
      </c>
      <c r="J63" s="272">
        <v>1</v>
      </c>
    </row>
    <row r="64" spans="1:10" ht="20.100000000000001" customHeight="1" x14ac:dyDescent="0.25">
      <c r="A64" s="123">
        <v>62</v>
      </c>
      <c r="B64" s="103"/>
      <c r="C64" s="160"/>
      <c r="D64" s="104"/>
      <c r="E64" s="103"/>
      <c r="F64" s="103"/>
      <c r="G64" s="163"/>
      <c r="H64" s="277"/>
      <c r="I64" s="161" t="s">
        <v>111</v>
      </c>
      <c r="J64" s="267"/>
    </row>
    <row r="65" spans="1:10" ht="20.100000000000001" customHeight="1" x14ac:dyDescent="0.25">
      <c r="A65" s="123">
        <v>63</v>
      </c>
      <c r="B65" s="103"/>
      <c r="C65" s="160"/>
      <c r="D65" s="104"/>
      <c r="E65" s="103"/>
      <c r="F65" s="103"/>
      <c r="G65" s="163"/>
      <c r="H65" s="277"/>
      <c r="I65" s="161" t="s">
        <v>101</v>
      </c>
      <c r="J65" s="267"/>
    </row>
    <row r="66" spans="1:10" ht="20.100000000000001" customHeight="1" x14ac:dyDescent="0.25">
      <c r="A66" s="123">
        <v>64</v>
      </c>
      <c r="B66" s="103"/>
      <c r="C66" s="160"/>
      <c r="D66" s="104"/>
      <c r="E66" s="103"/>
      <c r="F66" s="103"/>
      <c r="G66" s="163"/>
      <c r="H66" s="277"/>
      <c r="I66" s="161" t="s">
        <v>102</v>
      </c>
      <c r="J66" s="267"/>
    </row>
    <row r="67" spans="1:10" ht="20.100000000000001" customHeight="1" x14ac:dyDescent="0.25">
      <c r="A67" s="123">
        <v>65</v>
      </c>
      <c r="B67" s="103"/>
      <c r="C67" s="160"/>
      <c r="D67" s="104"/>
      <c r="E67" s="103"/>
      <c r="F67" s="103"/>
      <c r="G67" s="163"/>
      <c r="H67" s="277"/>
      <c r="I67" s="161" t="s">
        <v>110</v>
      </c>
      <c r="J67" s="267">
        <v>2</v>
      </c>
    </row>
    <row r="68" spans="1:10" ht="20.100000000000001" customHeight="1" x14ac:dyDescent="0.25">
      <c r="A68" s="123">
        <v>66</v>
      </c>
      <c r="B68" s="103"/>
      <c r="C68" s="160"/>
      <c r="D68" s="104"/>
      <c r="E68" s="103"/>
      <c r="F68" s="103"/>
      <c r="G68" s="163"/>
      <c r="H68" s="277"/>
      <c r="I68" s="161" t="s">
        <v>111</v>
      </c>
      <c r="J68" s="267"/>
    </row>
    <row r="69" spans="1:10" ht="20.100000000000001" customHeight="1" x14ac:dyDescent="0.25">
      <c r="A69" s="123">
        <v>67</v>
      </c>
      <c r="B69" s="103"/>
      <c r="C69" s="160"/>
      <c r="D69" s="104"/>
      <c r="E69" s="103"/>
      <c r="F69" s="103"/>
      <c r="G69" s="163"/>
      <c r="H69" s="277"/>
      <c r="I69" s="161" t="s">
        <v>101</v>
      </c>
      <c r="J69" s="267"/>
    </row>
    <row r="70" spans="1:10" ht="20.100000000000001" customHeight="1" x14ac:dyDescent="0.25">
      <c r="A70" s="123">
        <v>68</v>
      </c>
      <c r="B70" s="103"/>
      <c r="C70" s="160"/>
      <c r="D70" s="104"/>
      <c r="E70" s="103"/>
      <c r="F70" s="103"/>
      <c r="G70" s="163"/>
      <c r="H70" s="277"/>
      <c r="I70" s="161" t="s">
        <v>102</v>
      </c>
      <c r="J70" s="267"/>
    </row>
    <row r="71" spans="1:10" ht="20.100000000000001" customHeight="1" x14ac:dyDescent="0.25">
      <c r="A71" s="123">
        <v>69</v>
      </c>
      <c r="B71" s="103"/>
      <c r="C71" s="160"/>
      <c r="D71" s="104"/>
      <c r="E71" s="103"/>
      <c r="F71" s="103"/>
      <c r="G71" s="163"/>
      <c r="H71" s="277"/>
      <c r="I71" s="161" t="s">
        <v>110</v>
      </c>
      <c r="J71" s="267">
        <v>3</v>
      </c>
    </row>
    <row r="72" spans="1:10" ht="20.100000000000001" customHeight="1" x14ac:dyDescent="0.25">
      <c r="A72" s="123">
        <v>70</v>
      </c>
      <c r="B72" s="184"/>
      <c r="C72" s="185"/>
      <c r="D72" s="186"/>
      <c r="E72" s="184"/>
      <c r="F72" s="184"/>
      <c r="G72" s="187"/>
      <c r="H72" s="277"/>
      <c r="I72" s="161" t="s">
        <v>111</v>
      </c>
      <c r="J72" s="267"/>
    </row>
    <row r="73" spans="1:10" ht="20.100000000000001" customHeight="1" x14ac:dyDescent="0.25">
      <c r="A73" s="123">
        <v>71</v>
      </c>
      <c r="B73" s="103"/>
      <c r="C73" s="160"/>
      <c r="D73" s="104"/>
      <c r="E73" s="103"/>
      <c r="F73" s="103"/>
      <c r="G73" s="163"/>
      <c r="H73" s="277"/>
      <c r="I73" s="161" t="s">
        <v>101</v>
      </c>
      <c r="J73" s="267"/>
    </row>
    <row r="74" spans="1:10" ht="20.100000000000001" customHeight="1" x14ac:dyDescent="0.25">
      <c r="A74" s="123">
        <v>72</v>
      </c>
      <c r="B74" s="103"/>
      <c r="C74" s="160"/>
      <c r="D74" s="104"/>
      <c r="E74" s="103"/>
      <c r="F74" s="103"/>
      <c r="G74" s="163"/>
      <c r="H74" s="277"/>
      <c r="I74" s="161" t="s">
        <v>102</v>
      </c>
      <c r="J74" s="267"/>
    </row>
    <row r="75" spans="1:10" ht="20.100000000000001" customHeight="1" x14ac:dyDescent="0.25">
      <c r="A75" s="123">
        <v>73</v>
      </c>
      <c r="B75" s="103"/>
      <c r="C75" s="160"/>
      <c r="D75" s="104"/>
      <c r="E75" s="103"/>
      <c r="F75" s="103"/>
      <c r="G75" s="163"/>
      <c r="H75" s="277"/>
      <c r="I75" s="161" t="s">
        <v>110</v>
      </c>
      <c r="J75" s="267">
        <v>4</v>
      </c>
    </row>
    <row r="76" spans="1:10" ht="20.100000000000001" customHeight="1" x14ac:dyDescent="0.25">
      <c r="A76" s="123">
        <v>74</v>
      </c>
      <c r="B76" s="103"/>
      <c r="C76" s="160"/>
      <c r="D76" s="104"/>
      <c r="E76" s="103"/>
      <c r="F76" s="103"/>
      <c r="G76" s="163"/>
      <c r="H76" s="277"/>
      <c r="I76" s="161" t="s">
        <v>111</v>
      </c>
      <c r="J76" s="267"/>
    </row>
    <row r="77" spans="1:10" ht="20.100000000000001" customHeight="1" x14ac:dyDescent="0.25">
      <c r="A77" s="123">
        <v>75</v>
      </c>
      <c r="B77" s="103"/>
      <c r="C77" s="160"/>
      <c r="D77" s="104"/>
      <c r="E77" s="103"/>
      <c r="F77" s="103"/>
      <c r="G77" s="163"/>
      <c r="H77" s="277"/>
      <c r="I77" s="161" t="s">
        <v>101</v>
      </c>
      <c r="J77" s="267"/>
    </row>
    <row r="78" spans="1:10" ht="20.100000000000001" customHeight="1" thickBot="1" x14ac:dyDescent="0.3">
      <c r="A78" s="180">
        <v>76</v>
      </c>
      <c r="B78" s="145"/>
      <c r="C78" s="181"/>
      <c r="D78" s="147"/>
      <c r="E78" s="145"/>
      <c r="F78" s="145"/>
      <c r="G78" s="182"/>
      <c r="H78" s="277"/>
      <c r="I78" s="183" t="s">
        <v>102</v>
      </c>
      <c r="J78" s="279"/>
    </row>
    <row r="79" spans="1:10" ht="20.100000000000001" customHeight="1" x14ac:dyDescent="0.25">
      <c r="A79" s="149">
        <v>77</v>
      </c>
      <c r="B79" s="135"/>
      <c r="C79" s="176"/>
      <c r="D79" s="137"/>
      <c r="E79" s="135"/>
      <c r="F79" s="135"/>
      <c r="G79" s="177"/>
      <c r="H79" s="276"/>
      <c r="I79" s="178" t="s">
        <v>110</v>
      </c>
      <c r="J79" s="272">
        <v>1</v>
      </c>
    </row>
    <row r="80" spans="1:10" ht="20.100000000000001" customHeight="1" x14ac:dyDescent="0.25">
      <c r="A80" s="123">
        <v>78</v>
      </c>
      <c r="B80" s="103"/>
      <c r="C80" s="160"/>
      <c r="D80" s="104"/>
      <c r="E80" s="103"/>
      <c r="F80" s="103"/>
      <c r="G80" s="163"/>
      <c r="H80" s="277"/>
      <c r="I80" s="161" t="s">
        <v>111</v>
      </c>
      <c r="J80" s="267"/>
    </row>
    <row r="81" spans="1:10" ht="20.100000000000001" customHeight="1" x14ac:dyDescent="0.25">
      <c r="A81" s="123">
        <v>79</v>
      </c>
      <c r="B81" s="103"/>
      <c r="C81" s="160"/>
      <c r="D81" s="104"/>
      <c r="E81" s="103"/>
      <c r="F81" s="103"/>
      <c r="G81" s="163"/>
      <c r="H81" s="277"/>
      <c r="I81" s="161" t="s">
        <v>101</v>
      </c>
      <c r="J81" s="267"/>
    </row>
    <row r="82" spans="1:10" ht="20.100000000000001" customHeight="1" x14ac:dyDescent="0.25">
      <c r="A82" s="123">
        <v>80</v>
      </c>
      <c r="B82" s="103"/>
      <c r="C82" s="160"/>
      <c r="D82" s="104"/>
      <c r="E82" s="103"/>
      <c r="F82" s="103"/>
      <c r="G82" s="163"/>
      <c r="H82" s="277"/>
      <c r="I82" s="161" t="s">
        <v>102</v>
      </c>
      <c r="J82" s="267"/>
    </row>
    <row r="83" spans="1:10" ht="20.100000000000001" customHeight="1" x14ac:dyDescent="0.25">
      <c r="A83" s="123">
        <v>81</v>
      </c>
      <c r="B83" s="103"/>
      <c r="C83" s="160"/>
      <c r="D83" s="104"/>
      <c r="E83" s="103"/>
      <c r="F83" s="103"/>
      <c r="G83" s="163"/>
      <c r="H83" s="277"/>
      <c r="I83" s="161" t="s">
        <v>110</v>
      </c>
      <c r="J83" s="267">
        <v>2</v>
      </c>
    </row>
    <row r="84" spans="1:10" ht="20.100000000000001" customHeight="1" x14ac:dyDescent="0.25">
      <c r="A84" s="123">
        <v>82</v>
      </c>
      <c r="B84" s="103"/>
      <c r="C84" s="160"/>
      <c r="D84" s="104"/>
      <c r="E84" s="103"/>
      <c r="F84" s="103"/>
      <c r="G84" s="163"/>
      <c r="H84" s="277"/>
      <c r="I84" s="161" t="s">
        <v>111</v>
      </c>
      <c r="J84" s="267"/>
    </row>
    <row r="85" spans="1:10" ht="20.100000000000001" customHeight="1" x14ac:dyDescent="0.25">
      <c r="A85" s="123">
        <v>83</v>
      </c>
      <c r="B85" s="103"/>
      <c r="C85" s="160"/>
      <c r="D85" s="104"/>
      <c r="E85" s="103"/>
      <c r="F85" s="103"/>
      <c r="G85" s="163"/>
      <c r="H85" s="277"/>
      <c r="I85" s="161" t="s">
        <v>101</v>
      </c>
      <c r="J85" s="267"/>
    </row>
    <row r="86" spans="1:10" ht="20.100000000000001" customHeight="1" x14ac:dyDescent="0.25">
      <c r="A86" s="123">
        <v>84</v>
      </c>
      <c r="B86" s="103"/>
      <c r="C86" s="160"/>
      <c r="D86" s="104"/>
      <c r="E86" s="103"/>
      <c r="F86" s="103"/>
      <c r="G86" s="163"/>
      <c r="H86" s="277"/>
      <c r="I86" s="161" t="s">
        <v>102</v>
      </c>
      <c r="J86" s="267"/>
    </row>
    <row r="87" spans="1:10" ht="20.100000000000001" customHeight="1" x14ac:dyDescent="0.25">
      <c r="A87" s="123">
        <v>85</v>
      </c>
      <c r="B87" s="103"/>
      <c r="C87" s="160"/>
      <c r="D87" s="104"/>
      <c r="E87" s="103"/>
      <c r="F87" s="103"/>
      <c r="G87" s="163"/>
      <c r="H87" s="277"/>
      <c r="I87" s="161" t="s">
        <v>110</v>
      </c>
      <c r="J87" s="267">
        <v>3</v>
      </c>
    </row>
    <row r="88" spans="1:10" ht="20.100000000000001" customHeight="1" x14ac:dyDescent="0.25">
      <c r="A88" s="123">
        <v>86</v>
      </c>
      <c r="B88" s="103"/>
      <c r="C88" s="160"/>
      <c r="D88" s="104"/>
      <c r="E88" s="103"/>
      <c r="F88" s="103"/>
      <c r="G88" s="163"/>
      <c r="H88" s="277"/>
      <c r="I88" s="161" t="s">
        <v>111</v>
      </c>
      <c r="J88" s="267"/>
    </row>
    <row r="89" spans="1:10" ht="20.100000000000001" customHeight="1" x14ac:dyDescent="0.25">
      <c r="A89" s="123">
        <v>87</v>
      </c>
      <c r="B89" s="103"/>
      <c r="C89" s="160"/>
      <c r="D89" s="104"/>
      <c r="E89" s="103"/>
      <c r="F89" s="103"/>
      <c r="G89" s="163"/>
      <c r="H89" s="277"/>
      <c r="I89" s="161" t="s">
        <v>101</v>
      </c>
      <c r="J89" s="267"/>
    </row>
    <row r="90" spans="1:10" ht="20.100000000000001" customHeight="1" x14ac:dyDescent="0.25">
      <c r="A90" s="123">
        <v>88</v>
      </c>
      <c r="B90" s="103"/>
      <c r="C90" s="160"/>
      <c r="D90" s="104"/>
      <c r="E90" s="103"/>
      <c r="F90" s="103"/>
      <c r="G90" s="163"/>
      <c r="H90" s="277"/>
      <c r="I90" s="161" t="s">
        <v>102</v>
      </c>
      <c r="J90" s="267"/>
    </row>
    <row r="91" spans="1:10" ht="20.100000000000001" customHeight="1" x14ac:dyDescent="0.25">
      <c r="A91" s="123">
        <v>89</v>
      </c>
      <c r="B91" s="103"/>
      <c r="C91" s="160"/>
      <c r="D91" s="104"/>
      <c r="E91" s="103"/>
      <c r="F91" s="103"/>
      <c r="G91" s="163"/>
      <c r="H91" s="277"/>
      <c r="I91" s="161" t="s">
        <v>110</v>
      </c>
      <c r="J91" s="267">
        <v>4</v>
      </c>
    </row>
    <row r="92" spans="1:10" ht="20.100000000000001" customHeight="1" thickBot="1" x14ac:dyDescent="0.3">
      <c r="A92" s="150">
        <v>90</v>
      </c>
      <c r="B92" s="141"/>
      <c r="C92" s="164"/>
      <c r="D92" s="143"/>
      <c r="E92" s="141"/>
      <c r="F92" s="141"/>
      <c r="G92" s="165"/>
      <c r="H92" s="278"/>
      <c r="I92" s="166" t="s">
        <v>111</v>
      </c>
      <c r="J92" s="268"/>
    </row>
  </sheetData>
  <sortState xmlns:xlrd2="http://schemas.microsoft.com/office/spreadsheetml/2017/richdata2" ref="B3:G92">
    <sortCondition ref="F3:F92"/>
  </sortState>
  <mergeCells count="30">
    <mergeCell ref="H47:H62"/>
    <mergeCell ref="H63:H78"/>
    <mergeCell ref="J83:J86"/>
    <mergeCell ref="J87:J90"/>
    <mergeCell ref="J91:J92"/>
    <mergeCell ref="H79:H92"/>
    <mergeCell ref="J67:J70"/>
    <mergeCell ref="J71:J74"/>
    <mergeCell ref="J75:J78"/>
    <mergeCell ref="J79:J82"/>
    <mergeCell ref="J47:J50"/>
    <mergeCell ref="J51:J54"/>
    <mergeCell ref="J55:J58"/>
    <mergeCell ref="J59:J62"/>
    <mergeCell ref="J63:J66"/>
    <mergeCell ref="J43:J46"/>
    <mergeCell ref="A1:J1"/>
    <mergeCell ref="J35:J38"/>
    <mergeCell ref="J39:J42"/>
    <mergeCell ref="J19:J22"/>
    <mergeCell ref="J23:J26"/>
    <mergeCell ref="J27:J30"/>
    <mergeCell ref="J31:J34"/>
    <mergeCell ref="J3:J6"/>
    <mergeCell ref="J7:J10"/>
    <mergeCell ref="J11:J14"/>
    <mergeCell ref="J15:J18"/>
    <mergeCell ref="H3:H14"/>
    <mergeCell ref="H15:H30"/>
    <mergeCell ref="H31:H46"/>
  </mergeCells>
  <phoneticPr fontId="35" type="noConversion"/>
  <conditionalFormatting sqref="B2:B92">
    <cfRule type="duplicateValues" dxfId="1" priority="4"/>
  </conditionalFormatting>
  <conditionalFormatting sqref="B93:B1048576">
    <cfRule type="duplicateValues" dxfId="0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0FB1-9C95-4D98-9F5E-F62E27B96651}">
  <dimension ref="A1:N45"/>
  <sheetViews>
    <sheetView tabSelected="1" zoomScale="70" zoomScaleNormal="70" workbookViewId="0">
      <selection activeCell="G21" sqref="G21:G30"/>
    </sheetView>
  </sheetViews>
  <sheetFormatPr defaultRowHeight="15.75" x14ac:dyDescent="0.25"/>
  <cols>
    <col min="1" max="1" width="12.140625" style="45" customWidth="1"/>
    <col min="2" max="2" width="55" style="45" customWidth="1"/>
    <col min="3" max="8" width="11.7109375" style="45" customWidth="1"/>
    <col min="9" max="11" width="9.140625" style="45"/>
    <col min="12" max="12" width="59.28515625" style="45" bestFit="1" customWidth="1"/>
    <col min="13" max="16384" width="9.140625" style="45"/>
  </cols>
  <sheetData>
    <row r="1" spans="1:8" s="70" customFormat="1" ht="24.95" customHeight="1" thickBot="1" x14ac:dyDescent="0.4">
      <c r="A1" s="68"/>
      <c r="B1" s="68" t="s">
        <v>62</v>
      </c>
      <c r="C1" s="236" t="s">
        <v>63</v>
      </c>
      <c r="D1" s="236"/>
      <c r="E1" s="236"/>
      <c r="F1" s="69" t="s">
        <v>64</v>
      </c>
      <c r="G1" s="69"/>
    </row>
    <row r="2" spans="1:8" ht="20.100000000000001" customHeight="1" x14ac:dyDescent="0.25">
      <c r="A2" s="302" t="s">
        <v>12</v>
      </c>
      <c r="B2" s="52" t="s">
        <v>13</v>
      </c>
      <c r="C2" s="296" t="s">
        <v>14</v>
      </c>
      <c r="D2" s="307" t="s">
        <v>45</v>
      </c>
      <c r="E2" s="307" t="s">
        <v>15</v>
      </c>
      <c r="F2" s="307" t="s">
        <v>17</v>
      </c>
      <c r="G2" s="296" t="s">
        <v>18</v>
      </c>
      <c r="H2" s="297"/>
    </row>
    <row r="3" spans="1:8" ht="20.100000000000001" customHeight="1" x14ac:dyDescent="0.25">
      <c r="A3" s="303"/>
      <c r="B3" s="46" t="s">
        <v>348</v>
      </c>
      <c r="C3" s="305"/>
      <c r="D3" s="308"/>
      <c r="E3" s="308"/>
      <c r="F3" s="308"/>
      <c r="G3" s="300" t="s">
        <v>21</v>
      </c>
      <c r="H3" s="298" t="s">
        <v>61</v>
      </c>
    </row>
    <row r="4" spans="1:8" ht="20.100000000000001" customHeight="1" thickBot="1" x14ac:dyDescent="0.3">
      <c r="A4" s="304"/>
      <c r="B4" s="53" t="s">
        <v>52</v>
      </c>
      <c r="C4" s="306"/>
      <c r="D4" s="309"/>
      <c r="E4" s="309"/>
      <c r="F4" s="309"/>
      <c r="G4" s="301"/>
      <c r="H4" s="299"/>
    </row>
    <row r="5" spans="1:8" ht="39" customHeight="1" x14ac:dyDescent="0.25">
      <c r="A5" s="64"/>
      <c r="B5" s="211" t="s">
        <v>351</v>
      </c>
      <c r="C5" s="283" t="s">
        <v>344</v>
      </c>
      <c r="D5" s="56"/>
      <c r="E5" s="62"/>
      <c r="F5" s="62"/>
      <c r="G5" s="290"/>
      <c r="H5" s="293"/>
    </row>
    <row r="6" spans="1:8" ht="20.100000000000001" customHeight="1" x14ac:dyDescent="0.25">
      <c r="A6" s="210"/>
      <c r="B6" s="49" t="s">
        <v>36</v>
      </c>
      <c r="C6" s="310"/>
      <c r="D6" s="47"/>
      <c r="E6" s="46"/>
      <c r="F6" s="46"/>
      <c r="G6" s="291"/>
      <c r="H6" s="294"/>
    </row>
    <row r="7" spans="1:8" ht="20.100000000000001" customHeight="1" x14ac:dyDescent="0.25">
      <c r="A7" s="210"/>
      <c r="B7" s="49" t="s">
        <v>370</v>
      </c>
      <c r="C7" s="310"/>
      <c r="D7" s="47"/>
      <c r="E7" s="46"/>
      <c r="F7" s="46"/>
      <c r="G7" s="291"/>
      <c r="H7" s="294"/>
    </row>
    <row r="8" spans="1:8" ht="20.100000000000001" customHeight="1" x14ac:dyDescent="0.25">
      <c r="A8" s="58"/>
      <c r="B8" s="49" t="s">
        <v>39</v>
      </c>
      <c r="C8" s="284"/>
      <c r="D8" s="47"/>
      <c r="E8" s="46"/>
      <c r="F8" s="46"/>
      <c r="G8" s="291"/>
      <c r="H8" s="294"/>
    </row>
    <row r="9" spans="1:8" ht="20.100000000000001" customHeight="1" x14ac:dyDescent="0.25">
      <c r="A9" s="58"/>
      <c r="B9" s="49" t="s">
        <v>40</v>
      </c>
      <c r="C9" s="284"/>
      <c r="D9" s="47"/>
      <c r="E9" s="46"/>
      <c r="F9" s="46"/>
      <c r="G9" s="291"/>
      <c r="H9" s="294"/>
    </row>
    <row r="10" spans="1:8" ht="20.100000000000001" customHeight="1" thickBot="1" x14ac:dyDescent="0.3">
      <c r="A10" s="59"/>
      <c r="B10" s="60" t="s">
        <v>347</v>
      </c>
      <c r="C10" s="285"/>
      <c r="D10" s="61"/>
      <c r="E10" s="53"/>
      <c r="F10" s="53"/>
      <c r="G10" s="292"/>
      <c r="H10" s="295"/>
    </row>
    <row r="11" spans="1:8" ht="36.75" customHeight="1" x14ac:dyDescent="0.25">
      <c r="A11" s="54"/>
      <c r="B11" s="211" t="s">
        <v>369</v>
      </c>
      <c r="C11" s="283" t="s">
        <v>344</v>
      </c>
      <c r="D11" s="56"/>
      <c r="E11" s="62"/>
      <c r="F11" s="57"/>
      <c r="G11" s="290"/>
      <c r="H11" s="293"/>
    </row>
    <row r="12" spans="1:8" ht="20.100000000000001" customHeight="1" x14ac:dyDescent="0.25">
      <c r="A12" s="58"/>
      <c r="B12" s="49" t="s">
        <v>38</v>
      </c>
      <c r="C12" s="310"/>
      <c r="D12" s="47"/>
      <c r="E12" s="46"/>
      <c r="F12" s="48"/>
      <c r="G12" s="291"/>
      <c r="H12" s="294"/>
    </row>
    <row r="13" spans="1:8" ht="20.100000000000001" customHeight="1" x14ac:dyDescent="0.25">
      <c r="A13" s="58"/>
      <c r="B13" s="49" t="s">
        <v>371</v>
      </c>
      <c r="C13" s="310"/>
      <c r="D13" s="47"/>
      <c r="E13" s="46"/>
      <c r="F13" s="48"/>
      <c r="G13" s="291"/>
      <c r="H13" s="294"/>
    </row>
    <row r="14" spans="1:8" ht="20.100000000000001" customHeight="1" x14ac:dyDescent="0.25">
      <c r="A14" s="58"/>
      <c r="B14" s="49" t="s">
        <v>36</v>
      </c>
      <c r="C14" s="310"/>
      <c r="D14" s="47"/>
      <c r="E14" s="46"/>
      <c r="F14" s="48"/>
      <c r="G14" s="291"/>
      <c r="H14" s="294"/>
    </row>
    <row r="15" spans="1:8" ht="20.100000000000001" customHeight="1" thickBot="1" x14ac:dyDescent="0.3">
      <c r="A15" s="58"/>
      <c r="B15" s="49" t="s">
        <v>372</v>
      </c>
      <c r="C15" s="310"/>
      <c r="D15" s="47"/>
      <c r="E15" s="46"/>
      <c r="F15" s="48"/>
      <c r="G15" s="291"/>
      <c r="H15" s="294"/>
    </row>
    <row r="16" spans="1:8" ht="20.100000000000001" customHeight="1" x14ac:dyDescent="0.25">
      <c r="A16" s="64"/>
      <c r="B16" s="55" t="s">
        <v>353</v>
      </c>
      <c r="C16" s="283" t="s">
        <v>344</v>
      </c>
      <c r="D16" s="56"/>
      <c r="E16" s="62"/>
      <c r="F16" s="62"/>
      <c r="G16" s="290"/>
      <c r="H16" s="293"/>
    </row>
    <row r="17" spans="1:14" ht="20.100000000000001" customHeight="1" x14ac:dyDescent="0.25">
      <c r="A17" s="58"/>
      <c r="B17" s="49" t="s">
        <v>87</v>
      </c>
      <c r="C17" s="284"/>
      <c r="D17" s="47"/>
      <c r="E17" s="46"/>
      <c r="F17" s="46"/>
      <c r="G17" s="291"/>
      <c r="H17" s="294"/>
    </row>
    <row r="18" spans="1:14" ht="20.100000000000001" customHeight="1" x14ac:dyDescent="0.25">
      <c r="A18" s="58"/>
      <c r="B18" s="49" t="s">
        <v>88</v>
      </c>
      <c r="C18" s="284"/>
      <c r="D18" s="47"/>
      <c r="E18" s="46"/>
      <c r="F18" s="46"/>
      <c r="G18" s="291"/>
      <c r="H18" s="294"/>
    </row>
    <row r="19" spans="1:14" ht="20.100000000000001" customHeight="1" x14ac:dyDescent="0.25">
      <c r="A19" s="58"/>
      <c r="B19" s="49" t="s">
        <v>86</v>
      </c>
      <c r="C19" s="284"/>
      <c r="D19" s="47"/>
      <c r="E19" s="46"/>
      <c r="F19" s="46"/>
      <c r="G19" s="291"/>
      <c r="H19" s="294"/>
    </row>
    <row r="20" spans="1:14" ht="20.100000000000001" customHeight="1" thickBot="1" x14ac:dyDescent="0.3">
      <c r="A20" s="59"/>
      <c r="B20" s="60" t="s">
        <v>37</v>
      </c>
      <c r="C20" s="285"/>
      <c r="D20" s="61"/>
      <c r="E20" s="53"/>
      <c r="F20" s="53"/>
      <c r="G20" s="292"/>
      <c r="H20" s="295"/>
    </row>
    <row r="21" spans="1:14" ht="24.75" customHeight="1" x14ac:dyDescent="0.25">
      <c r="A21" s="54"/>
      <c r="B21" s="55" t="s">
        <v>354</v>
      </c>
      <c r="C21" s="328" t="s">
        <v>344</v>
      </c>
      <c r="D21" s="56"/>
      <c r="E21" s="62"/>
      <c r="F21" s="57"/>
      <c r="G21" s="290"/>
      <c r="H21" s="293"/>
      <c r="M21" s="45" t="s">
        <v>356</v>
      </c>
      <c r="N21" s="45" t="s">
        <v>357</v>
      </c>
    </row>
    <row r="22" spans="1:14" ht="20.100000000000001" customHeight="1" x14ac:dyDescent="0.25">
      <c r="A22" s="58"/>
      <c r="B22" s="49" t="s">
        <v>39</v>
      </c>
      <c r="C22" s="329"/>
      <c r="D22" s="47"/>
      <c r="E22" s="46"/>
      <c r="F22" s="48"/>
      <c r="G22" s="291"/>
      <c r="H22" s="294"/>
      <c r="L22" s="45" t="s">
        <v>351</v>
      </c>
      <c r="M22" s="45">
        <v>6</v>
      </c>
      <c r="N22" s="45">
        <v>30</v>
      </c>
    </row>
    <row r="23" spans="1:14" ht="20.100000000000001" customHeight="1" x14ac:dyDescent="0.25">
      <c r="A23" s="58"/>
      <c r="B23" s="49" t="s">
        <v>36</v>
      </c>
      <c r="C23" s="329"/>
      <c r="D23" s="47"/>
      <c r="E23" s="46"/>
      <c r="F23" s="48"/>
      <c r="G23" s="291"/>
      <c r="H23" s="294"/>
      <c r="L23" s="45" t="s">
        <v>369</v>
      </c>
      <c r="M23" s="45">
        <v>5</v>
      </c>
      <c r="N23" s="45">
        <v>25</v>
      </c>
    </row>
    <row r="24" spans="1:14" ht="20.100000000000001" customHeight="1" x14ac:dyDescent="0.25">
      <c r="A24" s="58"/>
      <c r="B24" s="49" t="s">
        <v>40</v>
      </c>
      <c r="C24" s="329"/>
      <c r="D24" s="47"/>
      <c r="E24" s="46"/>
      <c r="F24" s="48"/>
      <c r="G24" s="291"/>
      <c r="H24" s="294"/>
      <c r="L24" s="45" t="s">
        <v>353</v>
      </c>
      <c r="M24" s="45">
        <v>6</v>
      </c>
      <c r="N24" s="45">
        <v>30</v>
      </c>
    </row>
    <row r="25" spans="1:14" ht="20.100000000000001" customHeight="1" x14ac:dyDescent="0.25">
      <c r="A25" s="58"/>
      <c r="B25" s="49" t="s">
        <v>41</v>
      </c>
      <c r="C25" s="329"/>
      <c r="D25" s="47"/>
      <c r="E25" s="46"/>
      <c r="F25" s="48"/>
      <c r="G25" s="291"/>
      <c r="H25" s="294"/>
      <c r="L25" s="45" t="s">
        <v>354</v>
      </c>
      <c r="M25" s="45">
        <v>2</v>
      </c>
      <c r="N25" s="45">
        <v>10</v>
      </c>
    </row>
    <row r="26" spans="1:14" ht="20.100000000000001" customHeight="1" x14ac:dyDescent="0.25">
      <c r="A26" s="58"/>
      <c r="B26" s="49" t="s">
        <v>42</v>
      </c>
      <c r="C26" s="329"/>
      <c r="D26" s="47"/>
      <c r="E26" s="46"/>
      <c r="F26" s="48"/>
      <c r="G26" s="291"/>
      <c r="H26" s="294"/>
      <c r="L26" s="45" t="s">
        <v>355</v>
      </c>
      <c r="M26" s="45">
        <v>5</v>
      </c>
      <c r="N26" s="45">
        <v>25</v>
      </c>
    </row>
    <row r="27" spans="1:14" ht="20.100000000000001" customHeight="1" x14ac:dyDescent="0.25">
      <c r="A27" s="58"/>
      <c r="B27" s="49" t="s">
        <v>43</v>
      </c>
      <c r="C27" s="329"/>
      <c r="D27" s="47"/>
      <c r="E27" s="46"/>
      <c r="F27" s="48"/>
      <c r="G27" s="291"/>
      <c r="H27" s="294"/>
      <c r="M27" s="45" t="s">
        <v>358</v>
      </c>
      <c r="N27" s="45">
        <f>SUM(N22:N26)</f>
        <v>120</v>
      </c>
    </row>
    <row r="28" spans="1:14" ht="20.100000000000001" customHeight="1" x14ac:dyDescent="0.25">
      <c r="A28" s="58"/>
      <c r="B28" s="49" t="s">
        <v>44</v>
      </c>
      <c r="C28" s="329"/>
      <c r="D28" s="47"/>
      <c r="E28" s="46"/>
      <c r="F28" s="48"/>
      <c r="G28" s="291"/>
      <c r="H28" s="294"/>
    </row>
    <row r="29" spans="1:14" ht="20.100000000000001" customHeight="1" x14ac:dyDescent="0.25">
      <c r="A29" s="58"/>
      <c r="B29" s="49" t="s">
        <v>59</v>
      </c>
      <c r="C29" s="329"/>
      <c r="D29" s="47"/>
      <c r="E29" s="46"/>
      <c r="F29" s="48"/>
      <c r="G29" s="291"/>
      <c r="H29" s="294"/>
    </row>
    <row r="30" spans="1:14" ht="20.100000000000001" customHeight="1" thickBot="1" x14ac:dyDescent="0.3">
      <c r="A30" s="59"/>
      <c r="B30" s="60" t="s">
        <v>60</v>
      </c>
      <c r="C30" s="330"/>
      <c r="D30" s="61"/>
      <c r="E30" s="53"/>
      <c r="F30" s="63"/>
      <c r="G30" s="292"/>
      <c r="H30" s="295"/>
    </row>
    <row r="31" spans="1:14" ht="20.100000000000001" customHeight="1" x14ac:dyDescent="0.25">
      <c r="A31" s="64"/>
      <c r="B31" s="55" t="s">
        <v>355</v>
      </c>
      <c r="C31" s="328" t="s">
        <v>344</v>
      </c>
      <c r="D31" s="56"/>
      <c r="E31" s="62"/>
      <c r="F31" s="62"/>
      <c r="G31" s="290"/>
      <c r="H31" s="293"/>
    </row>
    <row r="32" spans="1:14" ht="20.100000000000001" customHeight="1" x14ac:dyDescent="0.25">
      <c r="A32" s="210"/>
      <c r="B32" s="49" t="s">
        <v>345</v>
      </c>
      <c r="C32" s="329"/>
      <c r="D32" s="47"/>
      <c r="E32" s="46"/>
      <c r="F32" s="46"/>
      <c r="G32" s="291"/>
      <c r="H32" s="294"/>
    </row>
    <row r="33" spans="1:8" ht="20.100000000000001" customHeight="1" x14ac:dyDescent="0.25">
      <c r="A33" s="210"/>
      <c r="B33" s="49" t="s">
        <v>346</v>
      </c>
      <c r="C33" s="329"/>
      <c r="D33" s="47"/>
      <c r="E33" s="46"/>
      <c r="F33" s="46"/>
      <c r="G33" s="291"/>
      <c r="H33" s="294"/>
    </row>
    <row r="34" spans="1:8" ht="20.100000000000001" customHeight="1" x14ac:dyDescent="0.25">
      <c r="A34" s="58"/>
      <c r="B34" s="49" t="s">
        <v>39</v>
      </c>
      <c r="C34" s="329"/>
      <c r="D34" s="47"/>
      <c r="E34" s="46"/>
      <c r="F34" s="46"/>
      <c r="G34" s="291"/>
      <c r="H34" s="294"/>
    </row>
    <row r="35" spans="1:8" ht="20.100000000000001" customHeight="1" x14ac:dyDescent="0.25">
      <c r="A35" s="58"/>
      <c r="B35" s="49" t="s">
        <v>36</v>
      </c>
      <c r="C35" s="329"/>
      <c r="D35" s="47"/>
      <c r="E35" s="46"/>
      <c r="F35" s="46"/>
      <c r="G35" s="291"/>
      <c r="H35" s="294"/>
    </row>
    <row r="36" spans="1:8" ht="20.100000000000001" customHeight="1" thickBot="1" x14ac:dyDescent="0.3">
      <c r="A36" s="59"/>
      <c r="B36" s="60" t="s">
        <v>42</v>
      </c>
      <c r="C36" s="330"/>
      <c r="D36" s="61"/>
      <c r="E36" s="53"/>
      <c r="F36" s="53"/>
      <c r="G36" s="292"/>
      <c r="H36" s="295"/>
    </row>
    <row r="37" spans="1:8" ht="20.100000000000001" customHeight="1" x14ac:dyDescent="0.25">
      <c r="A37" s="65"/>
      <c r="B37" s="56" t="s">
        <v>46</v>
      </c>
      <c r="C37" s="286"/>
      <c r="D37" s="286"/>
      <c r="E37" s="286"/>
      <c r="F37" s="286"/>
      <c r="G37" s="286"/>
      <c r="H37" s="287"/>
    </row>
    <row r="38" spans="1:8" ht="20.100000000000001" customHeight="1" x14ac:dyDescent="0.25">
      <c r="A38" s="66"/>
      <c r="B38" s="47" t="s">
        <v>47</v>
      </c>
      <c r="C38" s="288"/>
      <c r="D38" s="288"/>
      <c r="E38" s="288"/>
      <c r="F38" s="288"/>
      <c r="G38" s="288"/>
      <c r="H38" s="289"/>
    </row>
    <row r="39" spans="1:8" ht="20.100000000000001" customHeight="1" x14ac:dyDescent="0.25">
      <c r="A39" s="66"/>
      <c r="B39" s="47" t="s">
        <v>48</v>
      </c>
      <c r="C39" s="288"/>
      <c r="D39" s="288"/>
      <c r="E39" s="288"/>
      <c r="F39" s="288"/>
      <c r="G39" s="288"/>
      <c r="H39" s="289"/>
    </row>
    <row r="40" spans="1:8" ht="20.100000000000001" customHeight="1" thickBot="1" x14ac:dyDescent="0.3">
      <c r="A40" s="67"/>
      <c r="B40" s="61" t="s">
        <v>49</v>
      </c>
      <c r="C40" s="280"/>
      <c r="D40" s="280"/>
      <c r="E40" s="280"/>
      <c r="F40" s="280"/>
      <c r="G40" s="280"/>
      <c r="H40" s="281"/>
    </row>
    <row r="41" spans="1:8" ht="20.100000000000001" customHeight="1" x14ac:dyDescent="0.25">
      <c r="B41" s="50" t="s">
        <v>50</v>
      </c>
    </row>
    <row r="42" spans="1:8" ht="20.100000000000001" customHeight="1" x14ac:dyDescent="0.25">
      <c r="B42" s="282" t="s">
        <v>51</v>
      </c>
      <c r="C42" s="282"/>
      <c r="D42" s="282"/>
      <c r="E42" s="282"/>
      <c r="F42" s="282"/>
      <c r="G42" s="282"/>
    </row>
    <row r="43" spans="1:8" ht="20.100000000000001" customHeight="1" x14ac:dyDescent="0.25">
      <c r="B43" s="282" t="s">
        <v>51</v>
      </c>
      <c r="C43" s="282"/>
      <c r="D43" s="282"/>
      <c r="E43" s="282"/>
      <c r="F43" s="282"/>
      <c r="G43" s="282"/>
      <c r="H43" s="51"/>
    </row>
    <row r="44" spans="1:8" ht="20.100000000000001" customHeight="1" x14ac:dyDescent="0.25">
      <c r="F44" s="12" t="s">
        <v>65</v>
      </c>
    </row>
    <row r="45" spans="1:8" ht="20.100000000000001" customHeight="1" x14ac:dyDescent="0.25"/>
  </sheetData>
  <mergeCells count="30">
    <mergeCell ref="G31:G36"/>
    <mergeCell ref="H31:H36"/>
    <mergeCell ref="G11:G15"/>
    <mergeCell ref="C11:C15"/>
    <mergeCell ref="H11:H15"/>
    <mergeCell ref="G2:H2"/>
    <mergeCell ref="H3:H4"/>
    <mergeCell ref="G3:G4"/>
    <mergeCell ref="C1:E1"/>
    <mergeCell ref="A2:A4"/>
    <mergeCell ref="C2:C4"/>
    <mergeCell ref="D2:D4"/>
    <mergeCell ref="E2:E4"/>
    <mergeCell ref="F2:F4"/>
    <mergeCell ref="C40:H40"/>
    <mergeCell ref="B42:G42"/>
    <mergeCell ref="B43:G43"/>
    <mergeCell ref="C16:C20"/>
    <mergeCell ref="C21:C30"/>
    <mergeCell ref="C37:H37"/>
    <mergeCell ref="C38:H38"/>
    <mergeCell ref="C39:H39"/>
    <mergeCell ref="G16:G20"/>
    <mergeCell ref="H16:H20"/>
    <mergeCell ref="G21:G30"/>
    <mergeCell ref="H21:H30"/>
    <mergeCell ref="C5:C10"/>
    <mergeCell ref="G5:G10"/>
    <mergeCell ref="H5:H10"/>
    <mergeCell ref="C31:C36"/>
  </mergeCells>
  <pageMargins left="0.54" right="0.17" top="0.12" bottom="0.19" header="0.12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DANH SÁCH 1</vt:lpstr>
      <vt:lpstr>DANH SÁCH</vt:lpstr>
      <vt:lpstr>BÌA</vt:lpstr>
      <vt:lpstr>SỔ THEO DÕI</vt:lpstr>
      <vt:lpstr>SH</vt:lpstr>
      <vt:lpstr>IN SH</vt:lpstr>
      <vt:lpstr>LỊCH CABIN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2025-08-19T04:21:26Z</cp:lastPrinted>
  <dcterms:created xsi:type="dcterms:W3CDTF">2023-06-15T01:31:49Z</dcterms:created>
  <dcterms:modified xsi:type="dcterms:W3CDTF">2025-08-21T08:16:30Z</dcterms:modified>
</cp:coreProperties>
</file>